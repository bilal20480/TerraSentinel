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LULC Data" sheetId="1" state="visible" r:id="rId1"/>
    <sheet xmlns:r="http://schemas.openxmlformats.org/officeDocument/2006/relationships" name="Built-up Trend" sheetId="2" state="visible" r:id="rId2"/>
    <sheet xmlns:r="http://schemas.openxmlformats.org/officeDocument/2006/relationships" name="Annu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FFFFFF"/>
      <sz val="12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Built-up Urban Area (km²) — Monthly 2016–2023</a:t>
            </a:r>
          </a:p>
        </rich>
      </tx>
    </title>
    <plotArea>
      <lineChart>
        <grouping val="standard"/>
        <ser>
          <idx val="0"/>
          <order val="0"/>
          <tx>
            <strRef>
              <f>'Built-up Trend'!B2</f>
            </strRef>
          </tx>
          <spPr>
            <a:ln xmlns:a="http://schemas.openxmlformats.org/drawingml/2006/main" w="1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'Built-up Trend'!$A$3:$A$98</f>
            </numRef>
          </cat>
          <val>
            <numRef>
              <f>'Built-up Trend'!$B$3:$B$98</f>
            </numRef>
          </val>
        </ser>
        <ser>
          <idx val="1"/>
          <order val="1"/>
          <tx>
            <strRef>
              <f>'Built-up Trend'!C2</f>
            </strRef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'Built-up Trend'!$A$3:$A$98</f>
            </numRef>
          </cat>
          <val>
            <numRef>
              <f>'Built-up Trend'!$C$3:$C$98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Area (km²)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</cols>
  <sheetData>
    <row r="1" ht="28" customHeight="1">
      <c r="A1" s="1" t="inlineStr">
        <is>
          <t>Hyderabad LULC Monthly Time Series 2016–2023 (km²) — Dynamic World V1 @ 30m</t>
        </is>
      </c>
    </row>
    <row r="2" ht="15" customHeight="1">
      <c r="A2" s="2" t="inlineStr">
        <is>
          <t>Source: Google Dynamic World V1 | GEE Export | 96 monthly observations | Scale: 30m</t>
        </is>
      </c>
    </row>
    <row r="4" ht="20" customHeight="1">
      <c r="A4" s="3" t="inlineStr">
        <is>
          <t>Date</t>
        </is>
      </c>
      <c r="B4" s="3" t="inlineStr">
        <is>
          <t>Year</t>
        </is>
      </c>
      <c r="C4" s="3" t="inlineStr">
        <is>
          <t>Month</t>
        </is>
      </c>
      <c r="D4" s="3" t="inlineStr">
        <is>
          <t>Water</t>
        </is>
      </c>
      <c r="E4" s="3" t="inlineStr">
        <is>
          <t>Trees</t>
        </is>
      </c>
      <c r="F4" s="3" t="inlineStr">
        <is>
          <t>Grass</t>
        </is>
      </c>
      <c r="G4" s="3" t="inlineStr">
        <is>
          <t>Flooded Veg</t>
        </is>
      </c>
      <c r="H4" s="3" t="inlineStr">
        <is>
          <t>Crops</t>
        </is>
      </c>
      <c r="I4" s="3" t="inlineStr">
        <is>
          <t>Shrub</t>
        </is>
      </c>
      <c r="J4" s="3" t="inlineStr">
        <is>
          <t>Built-up</t>
        </is>
      </c>
      <c r="K4" s="3" t="inlineStr">
        <is>
          <t>Bare</t>
        </is>
      </c>
      <c r="L4" s="3" t="inlineStr">
        <is>
          <t>Snow</t>
        </is>
      </c>
      <c r="M4" s="3" t="inlineStr">
        <is>
          <t>Flag</t>
        </is>
      </c>
      <c r="N4" s="3" t="inlineStr">
        <is>
          <t>Flag</t>
        </is>
      </c>
    </row>
    <row r="5">
      <c r="A5" s="4" t="inlineStr">
        <is>
          <t>2016-01</t>
        </is>
      </c>
      <c r="B5" s="4" t="n">
        <v>2016</v>
      </c>
      <c r="C5" s="4" t="n">
        <v>1</v>
      </c>
      <c r="D5" s="5" t="n">
        <v>5.760817711502818</v>
      </c>
      <c r="E5" s="5" t="n">
        <v>8.122802070082448</v>
      </c>
      <c r="F5" s="5" t="n">
        <v>0.2246341414794922</v>
      </c>
      <c r="G5" s="5" t="n">
        <v>0.3562190811157232</v>
      </c>
      <c r="H5" s="5" t="n">
        <v>4.558782172067866</v>
      </c>
      <c r="I5" s="5" t="n">
        <v>1.603170544202374</v>
      </c>
      <c r="J5" s="5" t="n">
        <v>157.0604349761743</v>
      </c>
      <c r="K5" s="5" t="n">
        <v>0.3292767810094489</v>
      </c>
      <c r="L5" s="5" t="n">
        <v>0</v>
      </c>
      <c r="M5" s="4" t="inlineStr"/>
    </row>
    <row r="6">
      <c r="A6" s="6" t="inlineStr">
        <is>
          <t>2016-02</t>
        </is>
      </c>
      <c r="B6" s="6" t="n">
        <v>2016</v>
      </c>
      <c r="C6" s="6" t="n">
        <v>2</v>
      </c>
      <c r="D6" s="7" t="n">
        <v>5.99166374104935</v>
      </c>
      <c r="E6" s="7" t="n">
        <v>5.916163963242702</v>
      </c>
      <c r="F6" s="7" t="n">
        <v>0.1433544096540864</v>
      </c>
      <c r="G6" s="7" t="n">
        <v>0.0785670478515624</v>
      </c>
      <c r="H6" s="7" t="n">
        <v>6.256425275414782</v>
      </c>
      <c r="I6" s="7" t="n">
        <v>1.239155611752979</v>
      </c>
      <c r="J6" s="7" t="n">
        <v>150.6841584097278</v>
      </c>
      <c r="K6" s="7" t="n">
        <v>7.706649018946625</v>
      </c>
      <c r="L6" s="7" t="n">
        <v>0</v>
      </c>
      <c r="M6" s="6" t="inlineStr"/>
    </row>
    <row r="7">
      <c r="A7" s="4" t="inlineStr">
        <is>
          <t>2016-03</t>
        </is>
      </c>
      <c r="B7" s="4" t="n">
        <v>2016</v>
      </c>
      <c r="C7" s="4" t="n">
        <v>3</v>
      </c>
      <c r="D7" s="5" t="n">
        <v>5.452566411586839</v>
      </c>
      <c r="E7" s="5" t="n">
        <v>4.983436238306885</v>
      </c>
      <c r="F7" s="5" t="n">
        <v>0.2602875177428001</v>
      </c>
      <c r="G7" s="5" t="n">
        <v>0.170390497975069</v>
      </c>
      <c r="H7" s="5" t="n">
        <v>4.696998837882459</v>
      </c>
      <c r="I7" s="5" t="n">
        <v>3.755813520352745</v>
      </c>
      <c r="J7" s="5" t="n">
        <v>157.8093070313683</v>
      </c>
      <c r="K7" s="5" t="n">
        <v>0.8873374224233584</v>
      </c>
      <c r="L7" s="5" t="n">
        <v>0</v>
      </c>
      <c r="M7" s="4" t="inlineStr"/>
    </row>
    <row r="8">
      <c r="A8" s="6" t="inlineStr">
        <is>
          <t>2016-04</t>
        </is>
      </c>
      <c r="B8" s="6" t="n">
        <v>2016</v>
      </c>
      <c r="C8" s="6" t="n">
        <v>4</v>
      </c>
      <c r="D8" s="7" t="n">
        <v>5.771792455568259</v>
      </c>
      <c r="E8" s="7" t="n">
        <v>3.533876611338907</v>
      </c>
      <c r="F8" s="7" t="n">
        <v>0.3664469279785156</v>
      </c>
      <c r="G8" s="7" t="n">
        <v>0.1460539662475586</v>
      </c>
      <c r="H8" s="7" t="n">
        <v>3.929263193705221</v>
      </c>
      <c r="I8" s="7" t="n">
        <v>4.088321973166344</v>
      </c>
      <c r="J8" s="7" t="n">
        <v>155.9049641686008</v>
      </c>
      <c r="K8" s="7" t="n">
        <v>4.275418181029806</v>
      </c>
      <c r="L8" s="7" t="n">
        <v>0</v>
      </c>
      <c r="M8" s="6" t="inlineStr"/>
    </row>
    <row r="9">
      <c r="A9" s="4" t="inlineStr">
        <is>
          <t>2016-05</t>
        </is>
      </c>
      <c r="B9" s="4" t="n">
        <v>2016</v>
      </c>
      <c r="C9" s="4" t="n">
        <v>5</v>
      </c>
      <c r="D9" s="5" t="n">
        <v>6.663206498110508</v>
      </c>
      <c r="E9" s="5" t="n">
        <v>3.748538628523291</v>
      </c>
      <c r="F9" s="5" t="n">
        <v>0.3809468055419922</v>
      </c>
      <c r="G9" s="5" t="n">
        <v>0.1816281587596221</v>
      </c>
      <c r="H9" s="5" t="n">
        <v>3.495443295947008</v>
      </c>
      <c r="I9" s="5" t="n">
        <v>2.322455123044235</v>
      </c>
      <c r="J9" s="5" t="n">
        <v>158.7502270376699</v>
      </c>
      <c r="K9" s="5" t="n">
        <v>2.473691930036232</v>
      </c>
      <c r="L9" s="5" t="n">
        <v>0</v>
      </c>
      <c r="M9" s="4" t="inlineStr"/>
    </row>
    <row r="10">
      <c r="A10" s="8" t="inlineStr">
        <is>
          <t>2016-06</t>
        </is>
      </c>
      <c r="B10" s="8" t="n">
        <v>2016</v>
      </c>
      <c r="C10" s="8" t="n">
        <v>6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10" t="inlineStr">
        <is>
          <t>LOW DATA</t>
        </is>
      </c>
    </row>
    <row r="11">
      <c r="A11" s="8" t="inlineStr">
        <is>
          <t>2016-07</t>
        </is>
      </c>
      <c r="B11" s="8" t="n">
        <v>2016</v>
      </c>
      <c r="C11" s="8" t="n">
        <v>7</v>
      </c>
      <c r="D11" s="9" t="n">
        <v>0.3374884830489818</v>
      </c>
      <c r="E11" s="9" t="n">
        <v>0.5263397269131529</v>
      </c>
      <c r="F11" s="9" t="n">
        <v>0.1100450653449563</v>
      </c>
      <c r="G11" s="9" t="n">
        <v>0.0512356936645507</v>
      </c>
      <c r="H11" s="9" t="n">
        <v>0.7119309319819429</v>
      </c>
      <c r="I11" s="9" t="n">
        <v>0.0102502641601562</v>
      </c>
      <c r="J11" s="9" t="n">
        <v>3.981100952386847</v>
      </c>
      <c r="K11" s="9" t="n">
        <v>0.0307440079956054</v>
      </c>
      <c r="L11" s="9" t="n">
        <v>0.0132956033222273</v>
      </c>
      <c r="M11" s="10" t="inlineStr">
        <is>
          <t>LOW DATA</t>
        </is>
      </c>
    </row>
    <row r="12">
      <c r="A12" s="8" t="inlineStr">
        <is>
          <t>2016-08</t>
        </is>
      </c>
      <c r="B12" s="8" t="n">
        <v>2016</v>
      </c>
      <c r="C12" s="8" t="n">
        <v>8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10" t="inlineStr">
        <is>
          <t>LOW DATA</t>
        </is>
      </c>
    </row>
    <row r="13">
      <c r="A13" s="8" t="inlineStr">
        <is>
          <t>2016-09</t>
        </is>
      </c>
      <c r="B13" s="8" t="n">
        <v>2016</v>
      </c>
      <c r="C13" s="8" t="n">
        <v>9</v>
      </c>
      <c r="D13" s="9" t="n">
        <v>2.054728328979473</v>
      </c>
      <c r="E13" s="9" t="n">
        <v>0.4840656745832835</v>
      </c>
      <c r="F13" s="9" t="n">
        <v>0.0871204373779297</v>
      </c>
      <c r="G13" s="9" t="n">
        <v>0.001707875793457</v>
      </c>
      <c r="H13" s="9" t="n">
        <v>0.6081063847617951</v>
      </c>
      <c r="I13" s="9" t="n">
        <v>0.0025618690795898</v>
      </c>
      <c r="J13" s="9" t="n">
        <v>24.58660013366529</v>
      </c>
      <c r="K13" s="9" t="n">
        <v>0.181937716491699</v>
      </c>
      <c r="L13" s="9" t="n">
        <v>0.0042720817871093</v>
      </c>
      <c r="M13" s="10" t="inlineStr">
        <is>
          <t>LOW DATA</t>
        </is>
      </c>
    </row>
    <row r="14">
      <c r="A14" s="6" t="inlineStr">
        <is>
          <t>2016-10</t>
        </is>
      </c>
      <c r="B14" s="6" t="n">
        <v>2016</v>
      </c>
      <c r="C14" s="6" t="n">
        <v>10</v>
      </c>
      <c r="D14" s="7" t="n">
        <v>7.293331413782506</v>
      </c>
      <c r="E14" s="7" t="n">
        <v>9.248590464212548</v>
      </c>
      <c r="F14" s="7" t="n">
        <v>0.6054906586906884</v>
      </c>
      <c r="G14" s="7" t="n">
        <v>0.1016509761352539</v>
      </c>
      <c r="H14" s="7" t="n">
        <v>4.868044791623102</v>
      </c>
      <c r="I14" s="7" t="n">
        <v>0.1469156751098632</v>
      </c>
      <c r="J14" s="7" t="n">
        <v>155.4984695446521</v>
      </c>
      <c r="K14" s="7" t="n">
        <v>0.2536439534301759</v>
      </c>
      <c r="L14" s="7" t="n">
        <v>0</v>
      </c>
      <c r="M14" s="6" t="inlineStr"/>
    </row>
    <row r="15">
      <c r="A15" s="4" t="inlineStr">
        <is>
          <t>2016-11</t>
        </is>
      </c>
      <c r="B15" s="4" t="n">
        <v>2016</v>
      </c>
      <c r="C15" s="4" t="n">
        <v>11</v>
      </c>
      <c r="D15" s="5" t="n">
        <v>6.634795531315311</v>
      </c>
      <c r="E15" s="5" t="n">
        <v>10.952818782554</v>
      </c>
      <c r="F15" s="5" t="n">
        <v>0.6916722421262284</v>
      </c>
      <c r="G15" s="5" t="n">
        <v>0.2866500593031937</v>
      </c>
      <c r="H15" s="5" t="n">
        <v>3.311951034102135</v>
      </c>
      <c r="I15" s="5" t="n">
        <v>1.043633388927504</v>
      </c>
      <c r="J15" s="5" t="n">
        <v>154.7813524975334</v>
      </c>
      <c r="K15" s="5" t="n">
        <v>0.3132639417774872</v>
      </c>
      <c r="L15" s="5" t="n">
        <v>0</v>
      </c>
      <c r="M15" s="4" t="inlineStr"/>
    </row>
    <row r="16">
      <c r="A16" s="6" t="inlineStr">
        <is>
          <t>2016-12</t>
        </is>
      </c>
      <c r="B16" s="6" t="n">
        <v>2016</v>
      </c>
      <c r="C16" s="6" t="n">
        <v>12</v>
      </c>
      <c r="D16" s="7" t="n">
        <v>6.875424971132193</v>
      </c>
      <c r="E16" s="7" t="n">
        <v>11.35331566553335</v>
      </c>
      <c r="F16" s="7" t="n">
        <v>0.2955102257690431</v>
      </c>
      <c r="G16" s="7" t="n">
        <v>0.0435560881958007</v>
      </c>
      <c r="H16" s="7" t="n">
        <v>2.106152122708673</v>
      </c>
      <c r="I16" s="7" t="n">
        <v>1.066017674691715</v>
      </c>
      <c r="J16" s="7" t="n">
        <v>155.7804466328556</v>
      </c>
      <c r="K16" s="7" t="n">
        <v>0.4897331015100822</v>
      </c>
      <c r="L16" s="7" t="n">
        <v>0.0059809952392578</v>
      </c>
      <c r="M16" s="6" t="inlineStr"/>
    </row>
    <row r="17">
      <c r="A17" s="4" t="inlineStr">
        <is>
          <t>2017-01</t>
        </is>
      </c>
      <c r="B17" s="4" t="n">
        <v>2017</v>
      </c>
      <c r="C17" s="4" t="n">
        <v>1</v>
      </c>
      <c r="D17" s="5" t="n">
        <v>5.219844107849163</v>
      </c>
      <c r="E17" s="5" t="n">
        <v>5.20716046738495</v>
      </c>
      <c r="F17" s="5" t="n">
        <v>0.1323881818237306</v>
      </c>
      <c r="G17" s="5" t="n">
        <v>0.0717374681396484</v>
      </c>
      <c r="H17" s="5" t="n">
        <v>3.753955477585965</v>
      </c>
      <c r="I17" s="5" t="n">
        <v>0.842667868796913</v>
      </c>
      <c r="J17" s="5" t="n">
        <v>60.86117076704855</v>
      </c>
      <c r="K17" s="5" t="n">
        <v>26.18971766590974</v>
      </c>
      <c r="L17" s="5" t="n">
        <v>0.0333081132202148</v>
      </c>
      <c r="M17" s="4" t="inlineStr"/>
    </row>
    <row r="18">
      <c r="A18" s="6" t="inlineStr">
        <is>
          <t>2017-02</t>
        </is>
      </c>
      <c r="B18" s="6" t="n">
        <v>2017</v>
      </c>
      <c r="C18" s="6" t="n">
        <v>2</v>
      </c>
      <c r="D18" s="7" t="n">
        <v>6.576406157459921</v>
      </c>
      <c r="E18" s="7" t="n">
        <v>7.368474314792241</v>
      </c>
      <c r="F18" s="7" t="n">
        <v>0.3929233739624022</v>
      </c>
      <c r="G18" s="7" t="n">
        <v>0.0606377179565429</v>
      </c>
      <c r="H18" s="7" t="n">
        <v>4.186195614844427</v>
      </c>
      <c r="I18" s="7" t="n">
        <v>2.370827578172639</v>
      </c>
      <c r="J18" s="7" t="n">
        <v>156.3724021579796</v>
      </c>
      <c r="K18" s="7" t="n">
        <v>0.68827056247008</v>
      </c>
      <c r="L18" s="7" t="n">
        <v>0</v>
      </c>
      <c r="M18" s="6" t="inlineStr"/>
    </row>
    <row r="19">
      <c r="A19" s="4" t="inlineStr">
        <is>
          <t>2017-03</t>
        </is>
      </c>
      <c r="B19" s="4" t="n">
        <v>2017</v>
      </c>
      <c r="C19" s="4" t="n">
        <v>3</v>
      </c>
      <c r="D19" s="5" t="n">
        <v>0.4928332629394515</v>
      </c>
      <c r="E19" s="5" t="n">
        <v>1.742575365455294</v>
      </c>
      <c r="F19" s="5" t="n">
        <v>0.2340275543212889</v>
      </c>
      <c r="G19" s="5" t="n">
        <v>0.0119578125</v>
      </c>
      <c r="H19" s="5" t="n">
        <v>1.812771384473387</v>
      </c>
      <c r="I19" s="5" t="n">
        <v>0.9670652228743022</v>
      </c>
      <c r="J19" s="5" t="n">
        <v>57.4963252074741</v>
      </c>
      <c r="K19" s="5" t="n">
        <v>0.9901421280732988</v>
      </c>
      <c r="L19" s="5" t="n">
        <v>0</v>
      </c>
      <c r="M19" s="4" t="inlineStr"/>
    </row>
    <row r="20">
      <c r="A20" s="6" t="inlineStr">
        <is>
          <t>2017-04</t>
        </is>
      </c>
      <c r="B20" s="6" t="n">
        <v>2017</v>
      </c>
      <c r="C20" s="6" t="n">
        <v>4</v>
      </c>
      <c r="D20" s="7" t="n">
        <v>6.750829636465198</v>
      </c>
      <c r="E20" s="7" t="n">
        <v>2.640328757957316</v>
      </c>
      <c r="F20" s="7" t="n">
        <v>0.211824575866699</v>
      </c>
      <c r="G20" s="7" t="n">
        <v>0.0239135808105468</v>
      </c>
      <c r="H20" s="7" t="n">
        <v>4.762981853053151</v>
      </c>
      <c r="I20" s="7" t="n">
        <v>2.654018263809261</v>
      </c>
      <c r="J20" s="7" t="n">
        <v>153.34961607757</v>
      </c>
      <c r="K20" s="7" t="n">
        <v>7.622624732111372</v>
      </c>
      <c r="L20" s="7" t="n">
        <v>0</v>
      </c>
      <c r="M20" s="6" t="inlineStr"/>
    </row>
    <row r="21">
      <c r="A21" s="4" t="inlineStr">
        <is>
          <t>2017-05</t>
        </is>
      </c>
      <c r="B21" s="4" t="n">
        <v>2017</v>
      </c>
      <c r="C21" s="4" t="n">
        <v>5</v>
      </c>
      <c r="D21" s="5" t="n">
        <v>6.786792474335964</v>
      </c>
      <c r="E21" s="5" t="n">
        <v>2.323915162593841</v>
      </c>
      <c r="F21" s="5" t="n">
        <v>0.2306183223876952</v>
      </c>
      <c r="G21" s="5" t="n">
        <v>0.0589314665527343</v>
      </c>
      <c r="H21" s="5" t="n">
        <v>3.850697773835551</v>
      </c>
      <c r="I21" s="5" t="n">
        <v>1.418181390902889</v>
      </c>
      <c r="J21" s="5" t="n">
        <v>157.3677891682864</v>
      </c>
      <c r="K21" s="5" t="n">
        <v>5.97921171873796</v>
      </c>
      <c r="L21" s="5" t="n">
        <v>0</v>
      </c>
      <c r="M21" s="4" t="inlineStr"/>
    </row>
    <row r="22">
      <c r="A22" s="6" t="inlineStr">
        <is>
          <t>2017-06</t>
        </is>
      </c>
      <c r="B22" s="6" t="n">
        <v>2017</v>
      </c>
      <c r="C22" s="6" t="n">
        <v>6</v>
      </c>
      <c r="D22" s="7" t="n">
        <v>6.550128731947721</v>
      </c>
      <c r="E22" s="7" t="n">
        <v>2.644788304726295</v>
      </c>
      <c r="F22" s="7" t="n">
        <v>0.2041603649291993</v>
      </c>
      <c r="G22" s="7" t="n">
        <v>0.1358154559326172</v>
      </c>
      <c r="H22" s="7" t="n">
        <v>1.818102107483394</v>
      </c>
      <c r="I22" s="7" t="n">
        <v>1.568507490368173</v>
      </c>
      <c r="J22" s="7" t="n">
        <v>126.84312273428</v>
      </c>
      <c r="K22" s="7" t="n">
        <v>2.209978749031803</v>
      </c>
      <c r="L22" s="7" t="n">
        <v>0</v>
      </c>
      <c r="M22" s="6" t="inlineStr"/>
    </row>
    <row r="23">
      <c r="A23" s="8" t="inlineStr">
        <is>
          <t>2017-07</t>
        </is>
      </c>
      <c r="B23" s="8" t="n">
        <v>2017</v>
      </c>
      <c r="C23" s="8" t="n">
        <v>7</v>
      </c>
      <c r="D23" s="9" t="n">
        <v>0.0717381522827148</v>
      </c>
      <c r="E23" s="9" t="n">
        <v>0.0922302581176758</v>
      </c>
      <c r="F23" s="9" t="n">
        <v>0.0187895103759765</v>
      </c>
      <c r="G23" s="9" t="n">
        <v>0</v>
      </c>
      <c r="H23" s="9" t="n">
        <v>0.3481183163782453</v>
      </c>
      <c r="I23" s="9" t="n">
        <v>0</v>
      </c>
      <c r="J23" s="9" t="n">
        <v>5.336492778271522</v>
      </c>
      <c r="K23" s="9" t="n">
        <v>0.7186343633085353</v>
      </c>
      <c r="L23" s="9" t="n">
        <v>0.0145172868652343</v>
      </c>
      <c r="M23" s="10" t="inlineStr">
        <is>
          <t>LOW DATA</t>
        </is>
      </c>
    </row>
    <row r="24">
      <c r="A24" s="8" t="inlineStr">
        <is>
          <t>2017-08</t>
        </is>
      </c>
      <c r="B24" s="8" t="n">
        <v>2017</v>
      </c>
      <c r="C24" s="8" t="n">
        <v>8</v>
      </c>
      <c r="D24" s="9" t="n">
        <v>0</v>
      </c>
      <c r="E24" s="9" t="n">
        <v>0.09224224407958979</v>
      </c>
      <c r="F24" s="9" t="n">
        <v>0.0051246279296874</v>
      </c>
      <c r="G24" s="9" t="n">
        <v>0</v>
      </c>
      <c r="H24" s="9" t="n">
        <v>0.0034162729492187</v>
      </c>
      <c r="I24" s="9" t="n">
        <v>0</v>
      </c>
      <c r="J24" s="9" t="n">
        <v>0.3433471127929677</v>
      </c>
      <c r="K24" s="9" t="n">
        <v>0.0034162705078125</v>
      </c>
      <c r="L24" s="9" t="n">
        <v>0</v>
      </c>
      <c r="M24" s="10" t="inlineStr">
        <is>
          <t>LOW DATA</t>
        </is>
      </c>
    </row>
    <row r="25">
      <c r="A25" s="4" t="inlineStr">
        <is>
          <t>2017-09</t>
        </is>
      </c>
      <c r="B25" s="4" t="n">
        <v>2017</v>
      </c>
      <c r="C25" s="4" t="n">
        <v>9</v>
      </c>
      <c r="D25" s="5" t="n">
        <v>8.051737584963558</v>
      </c>
      <c r="E25" s="5" t="n">
        <v>15.11605832866573</v>
      </c>
      <c r="F25" s="5" t="n">
        <v>0.6953792319714127</v>
      </c>
      <c r="G25" s="5" t="n">
        <v>0.0785820988769531</v>
      </c>
      <c r="H25" s="5" t="n">
        <v>2.984095457520002</v>
      </c>
      <c r="I25" s="5" t="n">
        <v>0.119127534142827</v>
      </c>
      <c r="J25" s="5" t="n">
        <v>125.4913659708059</v>
      </c>
      <c r="K25" s="5" t="n">
        <v>1.371729304978311</v>
      </c>
      <c r="L25" s="5" t="n">
        <v>0.266806089850691</v>
      </c>
      <c r="M25" s="4" t="inlineStr"/>
    </row>
    <row r="26">
      <c r="A26" s="6" t="inlineStr">
        <is>
          <t>2017-10</t>
        </is>
      </c>
      <c r="B26" s="6" t="n">
        <v>2017</v>
      </c>
      <c r="C26" s="6" t="n">
        <v>10</v>
      </c>
      <c r="D26" s="7" t="n">
        <v>5.132508128428805</v>
      </c>
      <c r="E26" s="7" t="n">
        <v>6.178660149066918</v>
      </c>
      <c r="F26" s="7" t="n">
        <v>0.2918451601332719</v>
      </c>
      <c r="G26" s="7" t="n">
        <v>0.0222026089477539</v>
      </c>
      <c r="H26" s="7" t="n">
        <v>0.7089264583907791</v>
      </c>
      <c r="I26" s="7" t="n">
        <v>0.1152915273437499</v>
      </c>
      <c r="J26" s="7" t="n">
        <v>54.0884107711038</v>
      </c>
      <c r="K26" s="7" t="n">
        <v>0.9885272752075198</v>
      </c>
      <c r="L26" s="7" t="n">
        <v>0.1016789912719726</v>
      </c>
      <c r="M26" s="6" t="inlineStr"/>
    </row>
    <row r="27">
      <c r="A27" s="4" t="inlineStr">
        <is>
          <t>2017-11</t>
        </is>
      </c>
      <c r="B27" s="4" t="n">
        <v>2017</v>
      </c>
      <c r="C27" s="4" t="n">
        <v>11</v>
      </c>
      <c r="D27" s="5" t="n">
        <v>7.44941446940058</v>
      </c>
      <c r="E27" s="5" t="n">
        <v>12.28718474913617</v>
      </c>
      <c r="F27" s="5" t="n">
        <v>0.5953594175041652</v>
      </c>
      <c r="G27" s="5" t="n">
        <v>0.0538120275268554</v>
      </c>
      <c r="H27" s="5" t="n">
        <v>2.747372457065478</v>
      </c>
      <c r="I27" s="5" t="n">
        <v>0.2784097800292971</v>
      </c>
      <c r="J27" s="5" t="n">
        <v>154.4653837461669</v>
      </c>
      <c r="K27" s="5" t="n">
        <v>0.139200830810547</v>
      </c>
      <c r="L27" s="5" t="n">
        <v>0</v>
      </c>
      <c r="M27" s="4" t="inlineStr"/>
    </row>
    <row r="28">
      <c r="A28" s="6" t="inlineStr">
        <is>
          <t>2017-12</t>
        </is>
      </c>
      <c r="B28" s="6" t="n">
        <v>2017</v>
      </c>
      <c r="C28" s="6" t="n">
        <v>12</v>
      </c>
      <c r="D28" s="7" t="n">
        <v>7.415571267015447</v>
      </c>
      <c r="E28" s="7" t="n">
        <v>12.19279774803202</v>
      </c>
      <c r="F28" s="7" t="n">
        <v>0.4004240580815333</v>
      </c>
      <c r="G28" s="7" t="n">
        <v>0.0503396806485045</v>
      </c>
      <c r="H28" s="7" t="n">
        <v>2.896706627571618</v>
      </c>
      <c r="I28" s="7" t="n">
        <v>0.509032311216347</v>
      </c>
      <c r="J28" s="7" t="n">
        <v>154.2916446345644</v>
      </c>
      <c r="K28" s="7" t="n">
        <v>0.2596211505126953</v>
      </c>
      <c r="L28" s="7" t="n">
        <v>0</v>
      </c>
      <c r="M28" s="6" t="inlineStr"/>
    </row>
    <row r="29">
      <c r="A29" s="4" t="inlineStr">
        <is>
          <t>2018-01</t>
        </is>
      </c>
      <c r="B29" s="4" t="n">
        <v>2018</v>
      </c>
      <c r="C29" s="4" t="n">
        <v>1</v>
      </c>
      <c r="D29" s="5" t="n">
        <v>7.550768239556317</v>
      </c>
      <c r="E29" s="5" t="n">
        <v>10.39189147411031</v>
      </c>
      <c r="F29" s="5" t="n">
        <v>0.2357358447265624</v>
      </c>
      <c r="G29" s="5" t="n">
        <v>0.0435607150268554</v>
      </c>
      <c r="H29" s="5" t="n">
        <v>5.520827201472483</v>
      </c>
      <c r="I29" s="5" t="n">
        <v>0.4318456795886466</v>
      </c>
      <c r="J29" s="5" t="n">
        <v>150.7053030062934</v>
      </c>
      <c r="K29" s="5" t="n">
        <v>3.13620531686606</v>
      </c>
      <c r="L29" s="5" t="n">
        <v>0</v>
      </c>
      <c r="M29" s="4" t="inlineStr"/>
    </row>
    <row r="30">
      <c r="A30" s="6" t="inlineStr">
        <is>
          <t>2018-02</t>
        </is>
      </c>
      <c r="B30" s="6" t="n">
        <v>2018</v>
      </c>
      <c r="C30" s="6" t="n">
        <v>2</v>
      </c>
      <c r="D30" s="7" t="n">
        <v>7.01018293754544</v>
      </c>
      <c r="E30" s="7" t="n">
        <v>6.879741242478533</v>
      </c>
      <c r="F30" s="7" t="n">
        <v>0.3023578523559563</v>
      </c>
      <c r="G30" s="7" t="n">
        <v>0.0657698219604492</v>
      </c>
      <c r="H30" s="7" t="n">
        <v>3.946897829466328</v>
      </c>
      <c r="I30" s="7" t="n">
        <v>1.849476503499349</v>
      </c>
      <c r="J30" s="7" t="n">
        <v>157.25700860786</v>
      </c>
      <c r="K30" s="7" t="n">
        <v>0.7047026824690272</v>
      </c>
      <c r="L30" s="7" t="n">
        <v>0</v>
      </c>
      <c r="M30" s="6" t="inlineStr"/>
    </row>
    <row r="31">
      <c r="A31" s="4" t="inlineStr">
        <is>
          <t>2018-03</t>
        </is>
      </c>
      <c r="B31" s="4" t="n">
        <v>2018</v>
      </c>
      <c r="C31" s="4" t="n">
        <v>3</v>
      </c>
      <c r="D31" s="5" t="n">
        <v>7.091033363826709</v>
      </c>
      <c r="E31" s="5" t="n">
        <v>5.057389358309901</v>
      </c>
      <c r="F31" s="5" t="n">
        <v>0.1810756854858397</v>
      </c>
      <c r="G31" s="5" t="n">
        <v>0.0375801444702148</v>
      </c>
      <c r="H31" s="5" t="n">
        <v>6.460027534621712</v>
      </c>
      <c r="I31" s="5" t="n">
        <v>1.181621032707908</v>
      </c>
      <c r="J31" s="5" t="n">
        <v>153.7180151755439</v>
      </c>
      <c r="K31" s="5" t="n">
        <v>4.289395182678214</v>
      </c>
      <c r="L31" s="5" t="n">
        <v>0</v>
      </c>
      <c r="M31" s="4" t="inlineStr"/>
    </row>
    <row r="32">
      <c r="A32" s="6" t="inlineStr">
        <is>
          <t>2018-04</t>
        </is>
      </c>
      <c r="B32" s="6" t="n">
        <v>2018</v>
      </c>
      <c r="C32" s="6" t="n">
        <v>4</v>
      </c>
      <c r="D32" s="7" t="n">
        <v>6.774147898128405</v>
      </c>
      <c r="E32" s="7" t="n">
        <v>2.803856707477186</v>
      </c>
      <c r="F32" s="7" t="n">
        <v>0.222925984069824</v>
      </c>
      <c r="G32" s="7" t="n">
        <v>0.060637730102539</v>
      </c>
      <c r="H32" s="7" t="n">
        <v>3.8915427314812</v>
      </c>
      <c r="I32" s="7" t="n">
        <v>2.052700865151552</v>
      </c>
      <c r="J32" s="7" t="n">
        <v>159.1639710394951</v>
      </c>
      <c r="K32" s="7" t="n">
        <v>3.046354521728523</v>
      </c>
      <c r="L32" s="7" t="n">
        <v>0</v>
      </c>
      <c r="M32" s="6" t="inlineStr"/>
    </row>
    <row r="33">
      <c r="A33" s="4" t="inlineStr">
        <is>
          <t>2018-05</t>
        </is>
      </c>
      <c r="B33" s="4" t="n">
        <v>2018</v>
      </c>
      <c r="C33" s="4" t="n">
        <v>5</v>
      </c>
      <c r="D33" s="5" t="n">
        <v>6.841023797374703</v>
      </c>
      <c r="E33" s="5" t="n">
        <v>1.737167501922726</v>
      </c>
      <c r="F33" s="5" t="n">
        <v>0.1861998987426756</v>
      </c>
      <c r="G33" s="5" t="n">
        <v>0.0196418242797851</v>
      </c>
      <c r="H33" s="5" t="n">
        <v>4.097627916758298</v>
      </c>
      <c r="I33" s="5" t="n">
        <v>1.124642719654278</v>
      </c>
      <c r="J33" s="5" t="n">
        <v>156.7191536013352</v>
      </c>
      <c r="K33" s="5" t="n">
        <v>7.290680217568158</v>
      </c>
      <c r="L33" s="5" t="n">
        <v>0</v>
      </c>
      <c r="M33" s="4" t="inlineStr"/>
    </row>
    <row r="34">
      <c r="A34" s="8" t="inlineStr">
        <is>
          <t>2018-06</t>
        </is>
      </c>
      <c r="B34" s="8" t="n">
        <v>2018</v>
      </c>
      <c r="C34" s="8" t="n">
        <v>6</v>
      </c>
      <c r="D34" s="9" t="n">
        <v>0</v>
      </c>
      <c r="E34" s="9" t="n">
        <v>0.0436593187136182</v>
      </c>
      <c r="F34" s="9" t="n">
        <v>0</v>
      </c>
      <c r="G34" s="9" t="n">
        <v>0</v>
      </c>
      <c r="H34" s="9" t="n">
        <v>0.08930890859590419</v>
      </c>
      <c r="I34" s="9" t="n">
        <v>0</v>
      </c>
      <c r="J34" s="9" t="n">
        <v>0.5217627392558974</v>
      </c>
      <c r="K34" s="9" t="n">
        <v>0.0375948298339844</v>
      </c>
      <c r="L34" s="9" t="n">
        <v>0</v>
      </c>
      <c r="M34" s="10" t="inlineStr">
        <is>
          <t>LOW DATA</t>
        </is>
      </c>
    </row>
    <row r="35">
      <c r="A35" s="8" t="inlineStr">
        <is>
          <t>2018-07</t>
        </is>
      </c>
      <c r="B35" s="8" t="n">
        <v>2018</v>
      </c>
      <c r="C35" s="8" t="n">
        <v>7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10" t="inlineStr">
        <is>
          <t>LOW DATA</t>
        </is>
      </c>
    </row>
    <row r="36">
      <c r="A36" s="8" t="inlineStr">
        <is>
          <t>2018-08</t>
        </is>
      </c>
      <c r="B36" s="8" t="n">
        <v>2018</v>
      </c>
      <c r="C36" s="8" t="n">
        <v>8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10" t="inlineStr">
        <is>
          <t>LOW DATA</t>
        </is>
      </c>
    </row>
    <row r="37">
      <c r="A37" s="4" t="inlineStr">
        <is>
          <t>2018-09</t>
        </is>
      </c>
      <c r="B37" s="4" t="n">
        <v>2018</v>
      </c>
      <c r="C37" s="4" t="n">
        <v>9</v>
      </c>
      <c r="D37" s="5" t="n">
        <v>7.343991434240282</v>
      </c>
      <c r="E37" s="5" t="n">
        <v>8.449917215563495</v>
      </c>
      <c r="F37" s="5" t="n">
        <v>0.9993961871187136</v>
      </c>
      <c r="G37" s="5" t="n">
        <v>0.0606412424316406</v>
      </c>
      <c r="H37" s="5" t="n">
        <v>4.789921165025905</v>
      </c>
      <c r="I37" s="5" t="n">
        <v>0.06999690639863849</v>
      </c>
      <c r="J37" s="5" t="n">
        <v>155.7829920151394</v>
      </c>
      <c r="K37" s="5" t="n">
        <v>0.5192813117182717</v>
      </c>
      <c r="L37" s="5" t="n">
        <v>0</v>
      </c>
      <c r="M37" s="4" t="inlineStr"/>
    </row>
    <row r="38">
      <c r="A38" s="6" t="inlineStr">
        <is>
          <t>2018-10</t>
        </is>
      </c>
      <c r="B38" s="6" t="n">
        <v>2018</v>
      </c>
      <c r="C38" s="6" t="n">
        <v>10</v>
      </c>
      <c r="D38" s="7" t="n">
        <v>6.883420414635219</v>
      </c>
      <c r="E38" s="7" t="n">
        <v>9.334919837540918</v>
      </c>
      <c r="F38" s="7" t="n">
        <v>0.4973597578668324</v>
      </c>
      <c r="G38" s="7" t="n">
        <v>0.1084600469360351</v>
      </c>
      <c r="H38" s="7" t="n">
        <v>3.103279613645781</v>
      </c>
      <c r="I38" s="7" t="n">
        <v>0.5076691380672683</v>
      </c>
      <c r="J38" s="7" t="n">
        <v>157.4213279304174</v>
      </c>
      <c r="K38" s="7" t="n">
        <v>0.1597007385253908</v>
      </c>
      <c r="L38" s="7" t="n">
        <v>0</v>
      </c>
      <c r="M38" s="6" t="inlineStr"/>
    </row>
    <row r="39">
      <c r="A39" s="4" t="inlineStr">
        <is>
          <t>2018-11</t>
        </is>
      </c>
      <c r="B39" s="4" t="n">
        <v>2018</v>
      </c>
      <c r="C39" s="4" t="n">
        <v>11</v>
      </c>
      <c r="D39" s="5" t="n">
        <v>6.872418222896491</v>
      </c>
      <c r="E39" s="5" t="n">
        <v>8.855796902679561</v>
      </c>
      <c r="F39" s="5" t="n">
        <v>0.3296757315673823</v>
      </c>
      <c r="G39" s="5" t="n">
        <v>0.0572225195922851</v>
      </c>
      <c r="H39" s="5" t="n">
        <v>3.925180329839497</v>
      </c>
      <c r="I39" s="5" t="n">
        <v>0.3954575760210821</v>
      </c>
      <c r="J39" s="5" t="n">
        <v>157.4463148011801</v>
      </c>
      <c r="K39" s="5" t="n">
        <v>0.1340713938598633</v>
      </c>
      <c r="L39" s="5" t="n">
        <v>0</v>
      </c>
      <c r="M39" s="4" t="inlineStr"/>
    </row>
    <row r="40">
      <c r="A40" s="6" t="inlineStr">
        <is>
          <t>2018-12</t>
        </is>
      </c>
      <c r="B40" s="6" t="n">
        <v>2018</v>
      </c>
      <c r="C40" s="6" t="n">
        <v>12</v>
      </c>
      <c r="D40" s="7" t="n">
        <v>7.19500185008999</v>
      </c>
      <c r="E40" s="7" t="n">
        <v>9.29434178037323</v>
      </c>
      <c r="F40" s="7" t="n">
        <v>0.296358462219238</v>
      </c>
      <c r="G40" s="7" t="n">
        <v>0.0657588268432617</v>
      </c>
      <c r="H40" s="7" t="n">
        <v>4.294934213189109</v>
      </c>
      <c r="I40" s="7" t="n">
        <v>0.739013510489671</v>
      </c>
      <c r="J40" s="7" t="n">
        <v>155.8275331364816</v>
      </c>
      <c r="K40" s="7" t="n">
        <v>0.3031956979513728</v>
      </c>
      <c r="L40" s="7" t="n">
        <v>0</v>
      </c>
      <c r="M40" s="6" t="inlineStr"/>
    </row>
    <row r="41">
      <c r="A41" s="4" t="inlineStr">
        <is>
          <t>2019-01</t>
        </is>
      </c>
      <c r="B41" s="4" t="n">
        <v>2019</v>
      </c>
      <c r="C41" s="4" t="n">
        <v>1</v>
      </c>
      <c r="D41" s="5" t="n">
        <v>6.903226344630507</v>
      </c>
      <c r="E41" s="5" t="n">
        <v>7.828525498481042</v>
      </c>
      <c r="F41" s="5" t="n">
        <v>0.2545220005493161</v>
      </c>
      <c r="G41" s="5" t="n">
        <v>0.08796526702880859</v>
      </c>
      <c r="H41" s="5" t="n">
        <v>4.5779310823728</v>
      </c>
      <c r="I41" s="5" t="n">
        <v>0.974126753108965</v>
      </c>
      <c r="J41" s="5" t="n">
        <v>157.0943485760065</v>
      </c>
      <c r="K41" s="5" t="n">
        <v>0.2954919554586966</v>
      </c>
      <c r="L41" s="5" t="n">
        <v>0</v>
      </c>
      <c r="M41" s="4" t="inlineStr"/>
    </row>
    <row r="42">
      <c r="A42" s="6" t="inlineStr">
        <is>
          <t>2019-02</t>
        </is>
      </c>
      <c r="B42" s="6" t="n">
        <v>2019</v>
      </c>
      <c r="C42" s="6" t="n">
        <v>2</v>
      </c>
      <c r="D42" s="7" t="n">
        <v>6.535220513674964</v>
      </c>
      <c r="E42" s="7" t="n">
        <v>4.686743378361249</v>
      </c>
      <c r="F42" s="7" t="n">
        <v>0.2716074404907225</v>
      </c>
      <c r="G42" s="7" t="n">
        <v>0.1135818749389648</v>
      </c>
      <c r="H42" s="7" t="n">
        <v>4.098229922594238</v>
      </c>
      <c r="I42" s="7" t="n">
        <v>1.656346068433336</v>
      </c>
      <c r="J42" s="7" t="n">
        <v>160.2888611473029</v>
      </c>
      <c r="K42" s="7" t="n">
        <v>0.3655471318502975</v>
      </c>
      <c r="L42" s="7" t="n">
        <v>0</v>
      </c>
      <c r="M42" s="6" t="inlineStr"/>
    </row>
    <row r="43">
      <c r="A43" s="4" t="inlineStr">
        <is>
          <t>2019-03</t>
        </is>
      </c>
      <c r="B43" s="4" t="n">
        <v>2019</v>
      </c>
      <c r="C43" s="4" t="n">
        <v>3</v>
      </c>
      <c r="D43" s="5" t="n">
        <v>6.479613754745669</v>
      </c>
      <c r="E43" s="5" t="n">
        <v>2.99826898839112</v>
      </c>
      <c r="F43" s="5" t="n">
        <v>0.2588020014648434</v>
      </c>
      <c r="G43" s="5" t="n">
        <v>0.0358710708618164</v>
      </c>
      <c r="H43" s="5" t="n">
        <v>4.360865994177694</v>
      </c>
      <c r="I43" s="5" t="n">
        <v>1.909312046843162</v>
      </c>
      <c r="J43" s="5" t="n">
        <v>159.4435619069108</v>
      </c>
      <c r="K43" s="5" t="n">
        <v>2.52984171424393</v>
      </c>
      <c r="L43" s="5" t="n">
        <v>0</v>
      </c>
      <c r="M43" s="4" t="inlineStr"/>
    </row>
    <row r="44">
      <c r="A44" s="6" t="inlineStr">
        <is>
          <t>2019-04</t>
        </is>
      </c>
      <c r="B44" s="6" t="n">
        <v>2019</v>
      </c>
      <c r="C44" s="6" t="n">
        <v>4</v>
      </c>
      <c r="D44" s="7" t="n">
        <v>6.018438364330286</v>
      </c>
      <c r="E44" s="7" t="n">
        <v>2.438695972426485</v>
      </c>
      <c r="F44" s="7" t="n">
        <v>0.2690525252075188</v>
      </c>
      <c r="G44" s="7" t="n">
        <v>0.08711132696533209</v>
      </c>
      <c r="H44" s="7" t="n">
        <v>5.023031788686926</v>
      </c>
      <c r="I44" s="7" t="n">
        <v>2.270267828606575</v>
      </c>
      <c r="J44" s="7" t="n">
        <v>158.2612940922552</v>
      </c>
      <c r="K44" s="7" t="n">
        <v>3.648245579158998</v>
      </c>
      <c r="L44" s="7" t="n">
        <v>0</v>
      </c>
      <c r="M44" s="6" t="inlineStr"/>
    </row>
    <row r="45">
      <c r="A45" s="4" t="inlineStr">
        <is>
          <t>2019-05</t>
        </is>
      </c>
      <c r="B45" s="4" t="n">
        <v>2019</v>
      </c>
      <c r="C45" s="4" t="n">
        <v>5</v>
      </c>
      <c r="D45" s="5" t="n">
        <v>6.148119791779903</v>
      </c>
      <c r="E45" s="5" t="n">
        <v>1.450546360657935</v>
      </c>
      <c r="F45" s="5" t="n">
        <v>0.2049981129760739</v>
      </c>
      <c r="G45" s="5" t="n">
        <v>0.0384326919555664</v>
      </c>
      <c r="H45" s="5" t="n">
        <v>5.410800058110473</v>
      </c>
      <c r="I45" s="5" t="n">
        <v>2.219572318866807</v>
      </c>
      <c r="J45" s="5" t="n">
        <v>153.2596330382875</v>
      </c>
      <c r="K45" s="5" t="n">
        <v>9.284035105009146</v>
      </c>
      <c r="L45" s="5" t="n">
        <v>0</v>
      </c>
      <c r="M45" s="4" t="inlineStr"/>
    </row>
    <row r="46">
      <c r="A46" s="6" t="inlineStr">
        <is>
          <t>2019-06</t>
        </is>
      </c>
      <c r="B46" s="6" t="n">
        <v>2019</v>
      </c>
      <c r="C46" s="6" t="n">
        <v>6</v>
      </c>
      <c r="D46" s="7" t="n">
        <v>6.261071140248046</v>
      </c>
      <c r="E46" s="7" t="n">
        <v>1.901832735837447</v>
      </c>
      <c r="F46" s="7" t="n">
        <v>0.4760276481825891</v>
      </c>
      <c r="G46" s="7" t="n">
        <v>0.0256230811157226</v>
      </c>
      <c r="H46" s="7" t="n">
        <v>2.841609148392504</v>
      </c>
      <c r="I46" s="7" t="n">
        <v>0.8329547743470433</v>
      </c>
      <c r="J46" s="7" t="n">
        <v>136.9770909937013</v>
      </c>
      <c r="K46" s="7" t="n">
        <v>7.66677280438481</v>
      </c>
      <c r="L46" s="7" t="n">
        <v>0</v>
      </c>
      <c r="M46" s="6" t="inlineStr"/>
    </row>
    <row r="47">
      <c r="A47" s="8" t="inlineStr">
        <is>
          <t>2019-07</t>
        </is>
      </c>
      <c r="B47" s="8" t="n">
        <v>2019</v>
      </c>
      <c r="C47" s="8" t="n">
        <v>7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10" t="inlineStr">
        <is>
          <t>LOW DATA</t>
        </is>
      </c>
    </row>
    <row r="48">
      <c r="A48" s="8" t="inlineStr">
        <is>
          <t>2019-08</t>
        </is>
      </c>
      <c r="B48" s="8" t="n">
        <v>2019</v>
      </c>
      <c r="C48" s="8" t="n">
        <v>8</v>
      </c>
      <c r="D48" s="9" t="n">
        <v>0.3595438424072274</v>
      </c>
      <c r="E48" s="9" t="n">
        <v>0.6276183595961603</v>
      </c>
      <c r="F48" s="9" t="n">
        <v>0.5094425771441287</v>
      </c>
      <c r="G48" s="9" t="n">
        <v>0.017078966430664</v>
      </c>
      <c r="H48" s="9" t="n">
        <v>0.4754338849233576</v>
      </c>
      <c r="I48" s="9" t="n">
        <v>0.003415937133789</v>
      </c>
      <c r="J48" s="9" t="n">
        <v>17.08320246936224</v>
      </c>
      <c r="K48" s="9" t="n">
        <v>0.1921860532226566</v>
      </c>
      <c r="L48" s="9" t="n">
        <v>0.0025633750610351</v>
      </c>
      <c r="M48" s="10" t="inlineStr">
        <is>
          <t>LOW DATA</t>
        </is>
      </c>
    </row>
    <row r="49">
      <c r="A49" s="4" t="inlineStr">
        <is>
          <t>2019-09</t>
        </is>
      </c>
      <c r="B49" s="4" t="n">
        <v>2019</v>
      </c>
      <c r="C49" s="4" t="n">
        <v>9</v>
      </c>
      <c r="D49" s="5" t="n">
        <v>1.751098857531272</v>
      </c>
      <c r="E49" s="5" t="n">
        <v>5.842361223204096</v>
      </c>
      <c r="F49" s="5" t="n">
        <v>0.5257138459250055</v>
      </c>
      <c r="G49" s="5" t="n">
        <v>0.1127715598144531</v>
      </c>
      <c r="H49" s="5" t="n">
        <v>1.570141694588933</v>
      </c>
      <c r="I49" s="5" t="n">
        <v>0.0103742375093347</v>
      </c>
      <c r="J49" s="5" t="n">
        <v>53.78806657543401</v>
      </c>
      <c r="K49" s="5" t="n">
        <v>0.139176359464279</v>
      </c>
      <c r="L49" s="5" t="n">
        <v>0.0168786488245347</v>
      </c>
      <c r="M49" s="4" t="inlineStr"/>
    </row>
    <row r="50">
      <c r="A50" s="8" t="inlineStr">
        <is>
          <t>2019-10</t>
        </is>
      </c>
      <c r="B50" s="8" t="n">
        <v>2019</v>
      </c>
      <c r="C50" s="8" t="n">
        <v>10</v>
      </c>
      <c r="D50" s="9" t="n">
        <v>0.2327652831791899</v>
      </c>
      <c r="E50" s="9" t="n">
        <v>0.3246348766654224</v>
      </c>
      <c r="F50" s="9" t="n">
        <v>0.0418502120361328</v>
      </c>
      <c r="G50" s="9" t="n">
        <v>0.0008541652221679687</v>
      </c>
      <c r="H50" s="9" t="n">
        <v>0.1145114461940391</v>
      </c>
      <c r="I50" s="9" t="n">
        <v>0.0076849892578124</v>
      </c>
      <c r="J50" s="9" t="n">
        <v>13.50681102027487</v>
      </c>
      <c r="K50" s="9" t="n">
        <v>0.0563307310668945</v>
      </c>
      <c r="L50" s="9" t="n">
        <v>0</v>
      </c>
      <c r="M50" s="10" t="inlineStr">
        <is>
          <t>LOW DATA</t>
        </is>
      </c>
    </row>
    <row r="51">
      <c r="A51" s="4" t="inlineStr">
        <is>
          <t>2019-11</t>
        </is>
      </c>
      <c r="B51" s="4" t="n">
        <v>2019</v>
      </c>
      <c r="C51" s="4" t="n">
        <v>11</v>
      </c>
      <c r="D51" s="5" t="n">
        <v>7.166348077994796</v>
      </c>
      <c r="E51" s="5" t="n">
        <v>13.83167791390153</v>
      </c>
      <c r="F51" s="5" t="n">
        <v>0.6406656889464153</v>
      </c>
      <c r="G51" s="5" t="n">
        <v>0.08540602331542969</v>
      </c>
      <c r="H51" s="5" t="n">
        <v>1.878877266119509</v>
      </c>
      <c r="I51" s="5" t="n">
        <v>0.1520087229614256</v>
      </c>
      <c r="J51" s="5" t="n">
        <v>154.0211344659199</v>
      </c>
      <c r="K51" s="5" t="n">
        <v>0.2400193184814455</v>
      </c>
      <c r="L51" s="5" t="n">
        <v>0</v>
      </c>
      <c r="M51" s="4" t="inlineStr"/>
    </row>
    <row r="52">
      <c r="A52" s="6" t="inlineStr">
        <is>
          <t>2019-12</t>
        </is>
      </c>
      <c r="B52" s="6" t="n">
        <v>2019</v>
      </c>
      <c r="C52" s="6" t="n">
        <v>12</v>
      </c>
      <c r="D52" s="7" t="n">
        <v>7.70724648692865</v>
      </c>
      <c r="E52" s="7" t="n">
        <v>11.32365528901855</v>
      </c>
      <c r="F52" s="7" t="n">
        <v>0.2163791505505127</v>
      </c>
      <c r="G52" s="7" t="n">
        <v>0.0572288874511719</v>
      </c>
      <c r="H52" s="7" t="n">
        <v>1.737498702053185</v>
      </c>
      <c r="I52" s="7" t="n">
        <v>0.4459199842007508</v>
      </c>
      <c r="J52" s="7" t="n">
        <v>153.5114935418577</v>
      </c>
      <c r="K52" s="7" t="n">
        <v>0.7756000585327144</v>
      </c>
      <c r="L52" s="7" t="n">
        <v>0.0051241406860351</v>
      </c>
      <c r="M52" s="6" t="inlineStr"/>
    </row>
    <row r="53">
      <c r="A53" s="4" t="inlineStr">
        <is>
          <t>2020-01</t>
        </is>
      </c>
      <c r="B53" s="4" t="n">
        <v>2020</v>
      </c>
      <c r="C53" s="4" t="n">
        <v>1</v>
      </c>
      <c r="D53" s="5" t="n">
        <v>6.715247644890226</v>
      </c>
      <c r="E53" s="5" t="n">
        <v>9.313900562914318</v>
      </c>
      <c r="F53" s="5" t="n">
        <v>0.3744581229075709</v>
      </c>
      <c r="G53" s="5" t="n">
        <v>0.1212739907836913</v>
      </c>
      <c r="H53" s="5" t="n">
        <v>2.835921258930306</v>
      </c>
      <c r="I53" s="5" t="n">
        <v>0.6815744729446708</v>
      </c>
      <c r="J53" s="5" t="n">
        <v>157.6774033138562</v>
      </c>
      <c r="K53" s="5" t="n">
        <v>0.2963581104125974</v>
      </c>
      <c r="L53" s="5" t="n">
        <v>0</v>
      </c>
      <c r="M53" s="4" t="inlineStr"/>
    </row>
    <row r="54">
      <c r="A54" s="6" t="inlineStr">
        <is>
          <t>2020-02</t>
        </is>
      </c>
      <c r="B54" s="6" t="n">
        <v>2020</v>
      </c>
      <c r="C54" s="6" t="n">
        <v>2</v>
      </c>
      <c r="D54" s="7" t="n">
        <v>6.447660396365887</v>
      </c>
      <c r="E54" s="7" t="n">
        <v>5.975472904474251</v>
      </c>
      <c r="F54" s="7" t="n">
        <v>0.4282487220064048</v>
      </c>
      <c r="G54" s="7" t="n">
        <v>0.1938600623779297</v>
      </c>
      <c r="H54" s="7" t="n">
        <v>3.252510458666278</v>
      </c>
      <c r="I54" s="7" t="n">
        <v>1.640562462671376</v>
      </c>
      <c r="J54" s="7" t="n">
        <v>159.7517036475848</v>
      </c>
      <c r="K54" s="7" t="n">
        <v>0.3261188234959014</v>
      </c>
      <c r="L54" s="7" t="n">
        <v>0</v>
      </c>
      <c r="M54" s="6" t="inlineStr"/>
    </row>
    <row r="55">
      <c r="A55" s="4" t="inlineStr">
        <is>
          <t>2020-03</t>
        </is>
      </c>
      <c r="B55" s="4" t="n">
        <v>2020</v>
      </c>
      <c r="C55" s="4" t="n">
        <v>3</v>
      </c>
      <c r="D55" s="5" t="n">
        <v>6.550403405152537</v>
      </c>
      <c r="E55" s="5" t="n">
        <v>3.117111025145296</v>
      </c>
      <c r="F55" s="5" t="n">
        <v>0.2160880574951169</v>
      </c>
      <c r="G55" s="5" t="n">
        <v>0.1520181350097655</v>
      </c>
      <c r="H55" s="5" t="n">
        <v>4.187207980836354</v>
      </c>
      <c r="I55" s="5" t="n">
        <v>1.529559056696159</v>
      </c>
      <c r="J55" s="5" t="n">
        <v>160.9105987420124</v>
      </c>
      <c r="K55" s="5" t="n">
        <v>1.353151075293928</v>
      </c>
      <c r="L55" s="5" t="n">
        <v>0</v>
      </c>
      <c r="M55" s="4" t="inlineStr"/>
    </row>
    <row r="56">
      <c r="A56" s="6" t="inlineStr">
        <is>
          <t>2020-04</t>
        </is>
      </c>
      <c r="B56" s="6" t="n">
        <v>2020</v>
      </c>
      <c r="C56" s="6" t="n">
        <v>4</v>
      </c>
      <c r="D56" s="7" t="n">
        <v>6.459786709394622</v>
      </c>
      <c r="E56" s="7" t="n">
        <v>3.000246051746583</v>
      </c>
      <c r="F56" s="7" t="n">
        <v>0.2374484173583983</v>
      </c>
      <c r="G56" s="7" t="n">
        <v>0.139201287963867</v>
      </c>
      <c r="H56" s="7" t="n">
        <v>3.910257694712677</v>
      </c>
      <c r="I56" s="7" t="n">
        <v>2.255378665723613</v>
      </c>
      <c r="J56" s="7" t="n">
        <v>158.6301766548578</v>
      </c>
      <c r="K56" s="7" t="n">
        <v>3.383641995878797</v>
      </c>
      <c r="L56" s="7" t="n">
        <v>0</v>
      </c>
      <c r="M56" s="6" t="inlineStr"/>
    </row>
    <row r="57">
      <c r="A57" s="4" t="inlineStr">
        <is>
          <t>2020-05</t>
        </is>
      </c>
      <c r="B57" s="4" t="n">
        <v>2020</v>
      </c>
      <c r="C57" s="4" t="n">
        <v>5</v>
      </c>
      <c r="D57" s="5" t="n">
        <v>6.137016103577888</v>
      </c>
      <c r="E57" s="5" t="n">
        <v>2.122039859422629</v>
      </c>
      <c r="F57" s="5" t="n">
        <v>0.2459888901367185</v>
      </c>
      <c r="G57" s="5" t="n">
        <v>0.1767732015991211</v>
      </c>
      <c r="H57" s="5" t="n">
        <v>5.475896520205248</v>
      </c>
      <c r="I57" s="5" t="n">
        <v>2.401607745606193</v>
      </c>
      <c r="J57" s="5" t="n">
        <v>157.7786913183709</v>
      </c>
      <c r="K57" s="5" t="n">
        <v>3.678123838713518</v>
      </c>
      <c r="L57" s="5" t="n">
        <v>0</v>
      </c>
      <c r="M57" s="4" t="inlineStr"/>
    </row>
    <row r="58">
      <c r="A58" s="8" t="inlineStr">
        <is>
          <t>2020-06</t>
        </is>
      </c>
      <c r="B58" s="8" t="n">
        <v>2020</v>
      </c>
      <c r="C58" s="8" t="n">
        <v>6</v>
      </c>
      <c r="D58" s="9" t="n">
        <v>1.005654208662438</v>
      </c>
      <c r="E58" s="9" t="n">
        <v>0.2246154669799808</v>
      </c>
      <c r="F58" s="9" t="n">
        <v>0.06662829217529299</v>
      </c>
      <c r="G58" s="9" t="n">
        <v>0.047820886352539</v>
      </c>
      <c r="H58" s="9" t="n">
        <v>0.2577332261718748</v>
      </c>
      <c r="I58" s="9" t="n">
        <v>0.1110489329223632</v>
      </c>
      <c r="J58" s="9" t="n">
        <v>25.32150250983535</v>
      </c>
      <c r="K58" s="9" t="n">
        <v>0.8895796558509983</v>
      </c>
      <c r="L58" s="9" t="n">
        <v>0</v>
      </c>
      <c r="M58" s="10" t="inlineStr">
        <is>
          <t>LOW DATA</t>
        </is>
      </c>
    </row>
    <row r="59">
      <c r="A59" s="8" t="inlineStr">
        <is>
          <t>2020-07</t>
        </is>
      </c>
      <c r="B59" s="8" t="n">
        <v>2020</v>
      </c>
      <c r="C59" s="8" t="n">
        <v>7</v>
      </c>
      <c r="D59" s="9" t="n">
        <v>1.397060810974121</v>
      </c>
      <c r="E59" s="9" t="n">
        <v>1.031419404224827</v>
      </c>
      <c r="F59" s="9" t="n">
        <v>0.3178545233262011</v>
      </c>
      <c r="G59" s="9" t="n">
        <v>0.0179328322753906</v>
      </c>
      <c r="H59" s="9" t="n">
        <v>0.4694244524672565</v>
      </c>
      <c r="I59" s="9" t="n">
        <v>0.011101701599121</v>
      </c>
      <c r="J59" s="9" t="n">
        <v>14.98970657245371</v>
      </c>
      <c r="K59" s="9" t="n">
        <v>0.0700406956176757</v>
      </c>
      <c r="L59" s="9" t="n">
        <v>0.0358738309326171</v>
      </c>
      <c r="M59" s="10" t="inlineStr">
        <is>
          <t>LOW DATA</t>
        </is>
      </c>
    </row>
    <row r="60">
      <c r="A60" s="8" t="inlineStr">
        <is>
          <t>2020-08</t>
        </is>
      </c>
      <c r="B60" s="8" t="n">
        <v>2020</v>
      </c>
      <c r="C60" s="8" t="n">
        <v>8</v>
      </c>
      <c r="D60" s="9" t="n">
        <v>2.190218455243265</v>
      </c>
      <c r="E60" s="9" t="n">
        <v>2.501434819210756</v>
      </c>
      <c r="F60" s="9" t="n">
        <v>0.5492319600830083</v>
      </c>
      <c r="G60" s="9" t="n">
        <v>0.0102498688354492</v>
      </c>
      <c r="H60" s="9" t="n">
        <v>0.8806784314120422</v>
      </c>
      <c r="I60" s="9" t="n">
        <v>0.0281870435180663</v>
      </c>
      <c r="J60" s="9" t="n">
        <v>27.78137518952904</v>
      </c>
      <c r="K60" s="9" t="n">
        <v>0.1547826775390626</v>
      </c>
      <c r="L60" s="9" t="n">
        <v>0.0179379125366211</v>
      </c>
      <c r="M60" s="10" t="inlineStr">
        <is>
          <t>LOW DATA</t>
        </is>
      </c>
    </row>
    <row r="61">
      <c r="A61" s="8" t="inlineStr">
        <is>
          <t>2020-09</t>
        </is>
      </c>
      <c r="B61" s="8" t="n">
        <v>2020</v>
      </c>
      <c r="C61" s="8" t="n">
        <v>9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10" t="inlineStr">
        <is>
          <t>LOW DATA</t>
        </is>
      </c>
    </row>
    <row r="62">
      <c r="A62" s="6" t="inlineStr">
        <is>
          <t>2020-10</t>
        </is>
      </c>
      <c r="B62" s="6" t="n">
        <v>2020</v>
      </c>
      <c r="C62" s="6" t="n">
        <v>10</v>
      </c>
      <c r="D62" s="7" t="n">
        <v>8.182291596277858</v>
      </c>
      <c r="E62" s="7" t="n">
        <v>15.9570079849458</v>
      </c>
      <c r="F62" s="7" t="n">
        <v>0.3344806281860346</v>
      </c>
      <c r="G62" s="7" t="n">
        <v>0.1426604896850584</v>
      </c>
      <c r="H62" s="7" t="n">
        <v>0.8964325512013139</v>
      </c>
      <c r="I62" s="7" t="n">
        <v>0.2897019918741858</v>
      </c>
      <c r="J62" s="7" t="n">
        <v>151.9746070699683</v>
      </c>
      <c r="K62" s="7" t="n">
        <v>0.2372468510442998</v>
      </c>
      <c r="L62" s="7" t="n">
        <v>0.001708314453125</v>
      </c>
      <c r="M62" s="6" t="inlineStr"/>
    </row>
    <row r="63">
      <c r="A63" s="4" t="inlineStr">
        <is>
          <t>2020-11</t>
        </is>
      </c>
      <c r="B63" s="4" t="n">
        <v>2020</v>
      </c>
      <c r="C63" s="4" t="n">
        <v>11</v>
      </c>
      <c r="D63" s="5" t="n">
        <v>7.083237073579952</v>
      </c>
      <c r="E63" s="5" t="n">
        <v>12.97901130479496</v>
      </c>
      <c r="F63" s="5" t="n">
        <v>0.6893098325908606</v>
      </c>
      <c r="G63" s="5" t="n">
        <v>0.1767837587280275</v>
      </c>
      <c r="H63" s="5" t="n">
        <v>1.73827833404901</v>
      </c>
      <c r="I63" s="5" t="n">
        <v>0.2455509793957279</v>
      </c>
      <c r="J63" s="5" t="n">
        <v>154.9545164500557</v>
      </c>
      <c r="K63" s="5" t="n">
        <v>0.149449744445801</v>
      </c>
      <c r="L63" s="5" t="n">
        <v>0</v>
      </c>
      <c r="M63" s="4" t="inlineStr"/>
    </row>
    <row r="64">
      <c r="A64" s="6" t="inlineStr">
        <is>
          <t>2020-12</t>
        </is>
      </c>
      <c r="B64" s="6" t="n">
        <v>2020</v>
      </c>
      <c r="C64" s="6" t="n">
        <v>12</v>
      </c>
      <c r="D64" s="7" t="n">
        <v>7.300699032087297</v>
      </c>
      <c r="E64" s="7" t="n">
        <v>12.3311183122448</v>
      </c>
      <c r="F64" s="7" t="n">
        <v>0.4259307030991497</v>
      </c>
      <c r="G64" s="7" t="n">
        <v>0.0606430911865234</v>
      </c>
      <c r="H64" s="7" t="n">
        <v>2.505939043717694</v>
      </c>
      <c r="I64" s="7" t="n">
        <v>0.4315352599798462</v>
      </c>
      <c r="J64" s="7" t="n">
        <v>154.7076624463314</v>
      </c>
      <c r="K64" s="7" t="n">
        <v>0.2526095889942845</v>
      </c>
      <c r="L64" s="7" t="n">
        <v>0</v>
      </c>
      <c r="M64" s="6" t="inlineStr"/>
    </row>
    <row r="65">
      <c r="A65" s="4" t="inlineStr">
        <is>
          <t>2021-01</t>
        </is>
      </c>
      <c r="B65" s="4" t="n">
        <v>2021</v>
      </c>
      <c r="C65" s="4" t="n">
        <v>1</v>
      </c>
      <c r="D65" s="5" t="n">
        <v>7.951311212586861</v>
      </c>
      <c r="E65" s="5" t="n">
        <v>10.80451836346169</v>
      </c>
      <c r="F65" s="5" t="n">
        <v>0.1998645748291012</v>
      </c>
      <c r="G65" s="5" t="n">
        <v>0.0427037022705078</v>
      </c>
      <c r="H65" s="5" t="n">
        <v>5.023166323695561</v>
      </c>
      <c r="I65" s="5" t="n">
        <v>1.007072861375519</v>
      </c>
      <c r="J65" s="5" t="n">
        <v>147.200871154376</v>
      </c>
      <c r="K65" s="5" t="n">
        <v>5.784067499702855</v>
      </c>
      <c r="L65" s="5" t="n">
        <v>0.0025617853393554</v>
      </c>
      <c r="M65" s="4" t="inlineStr"/>
    </row>
    <row r="66">
      <c r="A66" s="6" t="inlineStr">
        <is>
          <t>2021-02</t>
        </is>
      </c>
      <c r="B66" s="6" t="n">
        <v>2021</v>
      </c>
      <c r="C66" s="6" t="n">
        <v>2</v>
      </c>
      <c r="D66" s="7" t="n">
        <v>7.05827597332568</v>
      </c>
      <c r="E66" s="7" t="n">
        <v>6.96576552544591</v>
      </c>
      <c r="F66" s="7" t="n">
        <v>0.2212191085815426</v>
      </c>
      <c r="G66" s="7" t="n">
        <v>0.0187875043945312</v>
      </c>
      <c r="H66" s="7" t="n">
        <v>4.969420003445002</v>
      </c>
      <c r="I66" s="7" t="n">
        <v>0.902609878223854</v>
      </c>
      <c r="J66" s="7" t="n">
        <v>157.2724498873471</v>
      </c>
      <c r="K66" s="7" t="n">
        <v>0.6076095968733259</v>
      </c>
      <c r="L66" s="7" t="n">
        <v>0</v>
      </c>
      <c r="M66" s="6" t="inlineStr"/>
    </row>
    <row r="67">
      <c r="A67" s="4" t="inlineStr">
        <is>
          <t>2021-03</t>
        </is>
      </c>
      <c r="B67" s="4" t="n">
        <v>2021</v>
      </c>
      <c r="C67" s="4" t="n">
        <v>3</v>
      </c>
      <c r="D67" s="5" t="n">
        <v>6.583817547825662</v>
      </c>
      <c r="E67" s="5" t="n">
        <v>5.040825268109978</v>
      </c>
      <c r="F67" s="5" t="n">
        <v>0.2750335950317374</v>
      </c>
      <c r="G67" s="5" t="n">
        <v>0.09735523724365221</v>
      </c>
      <c r="H67" s="5" t="n">
        <v>4.142402183583915</v>
      </c>
      <c r="I67" s="5" t="n">
        <v>1.708958116868681</v>
      </c>
      <c r="J67" s="5" t="n">
        <v>159.1990065759607</v>
      </c>
      <c r="K67" s="5" t="n">
        <v>0.9687389530172922</v>
      </c>
      <c r="L67" s="5" t="n">
        <v>0</v>
      </c>
      <c r="M67" s="4" t="inlineStr"/>
    </row>
    <row r="68">
      <c r="A68" s="6" t="inlineStr">
        <is>
          <t>2021-04</t>
        </is>
      </c>
      <c r="B68" s="6" t="n">
        <v>2021</v>
      </c>
      <c r="C68" s="6" t="n">
        <v>4</v>
      </c>
      <c r="D68" s="7" t="n">
        <v>5.964347585030786</v>
      </c>
      <c r="E68" s="7" t="n">
        <v>3.07915295445104</v>
      </c>
      <c r="F68" s="7" t="n">
        <v>0.2109708197631834</v>
      </c>
      <c r="G68" s="7" t="n">
        <v>0.0555074098510742</v>
      </c>
      <c r="H68" s="7" t="n">
        <v>4.283237356441919</v>
      </c>
      <c r="I68" s="7" t="n">
        <v>1.812551071105481</v>
      </c>
      <c r="J68" s="7" t="n">
        <v>157.4961258191789</v>
      </c>
      <c r="K68" s="7" t="n">
        <v>5.114244461812756</v>
      </c>
      <c r="L68" s="7" t="n">
        <v>0</v>
      </c>
      <c r="M68" s="6" t="inlineStr"/>
    </row>
    <row r="69">
      <c r="A69" s="4" t="inlineStr">
        <is>
          <t>2021-05</t>
        </is>
      </c>
      <c r="B69" s="4" t="n">
        <v>2021</v>
      </c>
      <c r="C69" s="4" t="n">
        <v>5</v>
      </c>
      <c r="D69" s="5" t="n">
        <v>7.02841453409444</v>
      </c>
      <c r="E69" s="5" t="n">
        <v>4.1246774323142</v>
      </c>
      <c r="F69" s="5" t="n">
        <v>0.222074998535156</v>
      </c>
      <c r="G69" s="5" t="n">
        <v>0.0307444060668945</v>
      </c>
      <c r="H69" s="5" t="n">
        <v>4.489525690132152</v>
      </c>
      <c r="I69" s="5" t="n">
        <v>0.5248947337854724</v>
      </c>
      <c r="J69" s="5" t="n">
        <v>159.2948814317375</v>
      </c>
      <c r="K69" s="5" t="n">
        <v>2.300924250970346</v>
      </c>
      <c r="L69" s="5" t="n">
        <v>0</v>
      </c>
      <c r="M69" s="4" t="inlineStr"/>
    </row>
    <row r="70">
      <c r="A70" s="8" t="inlineStr">
        <is>
          <t>2021-06</t>
        </is>
      </c>
      <c r="B70" s="8" t="n">
        <v>2021</v>
      </c>
      <c r="C70" s="8" t="n">
        <v>6</v>
      </c>
      <c r="D70" s="9" t="n">
        <v>0.4351558050101491</v>
      </c>
      <c r="E70" s="9" t="n">
        <v>0.7303392464154401</v>
      </c>
      <c r="F70" s="9" t="n">
        <v>0.0982359608154296</v>
      </c>
      <c r="G70" s="9" t="n">
        <v>0</v>
      </c>
      <c r="H70" s="9" t="n">
        <v>0.5842271292334477</v>
      </c>
      <c r="I70" s="9" t="n">
        <v>0</v>
      </c>
      <c r="J70" s="9" t="n">
        <v>20.80433884941812</v>
      </c>
      <c r="K70" s="9" t="n">
        <v>0.1623143143920897</v>
      </c>
      <c r="L70" s="9" t="n">
        <v>0</v>
      </c>
      <c r="M70" s="10" t="inlineStr">
        <is>
          <t>LOW DATA</t>
        </is>
      </c>
    </row>
    <row r="71">
      <c r="A71" s="4" t="inlineStr">
        <is>
          <t>2021-07</t>
        </is>
      </c>
      <c r="B71" s="4" t="n">
        <v>2021</v>
      </c>
      <c r="C71" s="4" t="n">
        <v>7</v>
      </c>
      <c r="D71" s="5" t="n">
        <v>7.180679014937571</v>
      </c>
      <c r="E71" s="5" t="n">
        <v>7.511610768010574</v>
      </c>
      <c r="F71" s="5" t="n">
        <v>0.9805043156372092</v>
      </c>
      <c r="G71" s="5" t="n">
        <v>0.0273305171508789</v>
      </c>
      <c r="H71" s="5" t="n">
        <v>4.335431956040564</v>
      </c>
      <c r="I71" s="5" t="n">
        <v>0.09683451812097869</v>
      </c>
      <c r="J71" s="5" t="n">
        <v>155.8265515518641</v>
      </c>
      <c r="K71" s="5" t="n">
        <v>1.822289199607223</v>
      </c>
      <c r="L71" s="5" t="n">
        <v>0</v>
      </c>
      <c r="M71" s="4" t="inlineStr"/>
    </row>
    <row r="72">
      <c r="A72" s="8" t="inlineStr">
        <is>
          <t>2021-08</t>
        </is>
      </c>
      <c r="B72" s="8" t="n">
        <v>2021</v>
      </c>
      <c r="C72" s="8" t="n">
        <v>8</v>
      </c>
      <c r="D72" s="9" t="n">
        <v>0</v>
      </c>
      <c r="E72" s="9" t="n">
        <v>0</v>
      </c>
      <c r="F72" s="9" t="n">
        <v>0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0</v>
      </c>
      <c r="L72" s="9" t="n">
        <v>0</v>
      </c>
      <c r="M72" s="10" t="inlineStr">
        <is>
          <t>LOW DATA</t>
        </is>
      </c>
    </row>
    <row r="73">
      <c r="A73" s="8" t="inlineStr">
        <is>
          <t>2021-09</t>
        </is>
      </c>
      <c r="B73" s="8" t="n">
        <v>2021</v>
      </c>
      <c r="C73" s="8" t="n">
        <v>9</v>
      </c>
      <c r="D73" s="9" t="n">
        <v>2.137752052283666</v>
      </c>
      <c r="E73" s="9" t="n">
        <v>5.03835257204254</v>
      </c>
      <c r="F73" s="9" t="n">
        <v>0.5254679958153823</v>
      </c>
      <c r="G73" s="9" t="n">
        <v>0.0410057628784179</v>
      </c>
      <c r="H73" s="9" t="n">
        <v>1.229461060460946</v>
      </c>
      <c r="I73" s="9" t="n">
        <v>0.0239173009643554</v>
      </c>
      <c r="J73" s="9" t="n">
        <v>46.18916847859568</v>
      </c>
      <c r="K73" s="9" t="n">
        <v>1.642962755665258</v>
      </c>
      <c r="L73" s="9" t="n">
        <v>0.4274073886733117</v>
      </c>
      <c r="M73" s="10" t="inlineStr">
        <is>
          <t>LOW DATA</t>
        </is>
      </c>
    </row>
    <row r="74">
      <c r="A74" s="6" t="inlineStr">
        <is>
          <t>2021-10</t>
        </is>
      </c>
      <c r="B74" s="6" t="n">
        <v>2021</v>
      </c>
      <c r="C74" s="6" t="n">
        <v>10</v>
      </c>
      <c r="D74" s="7" t="n">
        <v>8.198132914989298</v>
      </c>
      <c r="E74" s="7" t="n">
        <v>11.49755264716026</v>
      </c>
      <c r="F74" s="7" t="n">
        <v>0.6749785719317279</v>
      </c>
      <c r="G74" s="7" t="n">
        <v>0.110171083251953</v>
      </c>
      <c r="H74" s="7" t="n">
        <v>1.80963372519221</v>
      </c>
      <c r="I74" s="7" t="n">
        <v>0.1077590037312825</v>
      </c>
      <c r="J74" s="7" t="n">
        <v>155.3722754393285</v>
      </c>
      <c r="K74" s="7" t="n">
        <v>0.2456340920532228</v>
      </c>
      <c r="L74" s="7" t="n">
        <v>0</v>
      </c>
      <c r="M74" s="6" t="inlineStr"/>
    </row>
    <row r="75">
      <c r="A75" s="8" t="inlineStr">
        <is>
          <t>2021-11</t>
        </is>
      </c>
      <c r="B75" s="8" t="n">
        <v>2021</v>
      </c>
      <c r="C75" s="8" t="n">
        <v>11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10" t="inlineStr">
        <is>
          <t>LOW DATA</t>
        </is>
      </c>
    </row>
    <row r="76">
      <c r="A76" s="6" t="inlineStr">
        <is>
          <t>2021-12</t>
        </is>
      </c>
      <c r="B76" s="6" t="n">
        <v>2021</v>
      </c>
      <c r="C76" s="6" t="n">
        <v>12</v>
      </c>
      <c r="D76" s="7" t="n">
        <v>7.370562249746548</v>
      </c>
      <c r="E76" s="7" t="n">
        <v>11.30925929192655</v>
      </c>
      <c r="F76" s="7" t="n">
        <v>0.3185027187636426</v>
      </c>
      <c r="G76" s="7" t="n">
        <v>0.1246853590698241</v>
      </c>
      <c r="H76" s="7" t="n">
        <v>2.664071761862368</v>
      </c>
      <c r="I76" s="7" t="n">
        <v>0.5488638631682741</v>
      </c>
      <c r="J76" s="7" t="n">
        <v>155.4634598575473</v>
      </c>
      <c r="K76" s="7" t="n">
        <v>0.2167323755543431</v>
      </c>
      <c r="L76" s="7" t="n">
        <v>0</v>
      </c>
      <c r="M76" s="6" t="inlineStr"/>
    </row>
    <row r="77">
      <c r="A77" s="4" t="inlineStr">
        <is>
          <t>2022-01</t>
        </is>
      </c>
      <c r="B77" s="4" t="n">
        <v>2022</v>
      </c>
      <c r="C77" s="4" t="n">
        <v>1</v>
      </c>
      <c r="D77" s="5" t="n">
        <v>7.165231093942229</v>
      </c>
      <c r="E77" s="5" t="n">
        <v>8.177039001728586</v>
      </c>
      <c r="F77" s="5" t="n">
        <v>0.3811137498367608</v>
      </c>
      <c r="G77" s="5" t="n">
        <v>0.1673895104980468</v>
      </c>
      <c r="H77" s="5" t="n">
        <v>3.000094282189464</v>
      </c>
      <c r="I77" s="5" t="n">
        <v>0.9309134294565244</v>
      </c>
      <c r="J77" s="5" t="n">
        <v>157.9554274796253</v>
      </c>
      <c r="K77" s="5" t="n">
        <v>0.2389289303639133</v>
      </c>
      <c r="L77" s="5" t="n">
        <v>0</v>
      </c>
      <c r="M77" s="4" t="inlineStr"/>
    </row>
    <row r="78">
      <c r="A78" s="6" t="inlineStr">
        <is>
          <t>2022-02</t>
        </is>
      </c>
      <c r="B78" s="6" t="n">
        <v>2022</v>
      </c>
      <c r="C78" s="6" t="n">
        <v>2</v>
      </c>
      <c r="D78" s="7" t="n">
        <v>6.977865086886506</v>
      </c>
      <c r="E78" s="7" t="n">
        <v>5.572630441508446</v>
      </c>
      <c r="F78" s="7" t="n">
        <v>0.337373471374511</v>
      </c>
      <c r="G78" s="7" t="n">
        <v>0.1579966445113835</v>
      </c>
      <c r="H78" s="7" t="n">
        <v>4.83240360828184</v>
      </c>
      <c r="I78" s="7" t="n">
        <v>1.043817370688284</v>
      </c>
      <c r="J78" s="7" t="n">
        <v>158.7719842265161</v>
      </c>
      <c r="K78" s="7" t="n">
        <v>0.3220666278698493</v>
      </c>
      <c r="L78" s="7" t="n">
        <v>0</v>
      </c>
      <c r="M78" s="6" t="inlineStr"/>
    </row>
    <row r="79">
      <c r="A79" s="4" t="inlineStr">
        <is>
          <t>2022-03</t>
        </is>
      </c>
      <c r="B79" s="4" t="n">
        <v>2022</v>
      </c>
      <c r="C79" s="4" t="n">
        <v>3</v>
      </c>
      <c r="D79" s="5" t="n">
        <v>6.895326021820858</v>
      </c>
      <c r="E79" s="5" t="n">
        <v>3.909816988721205</v>
      </c>
      <c r="F79" s="5" t="n">
        <v>0.2271972083740231</v>
      </c>
      <c r="G79" s="5" t="n">
        <v>0.1161491303710936</v>
      </c>
      <c r="H79" s="5" t="n">
        <v>5.32148592045465</v>
      </c>
      <c r="I79" s="5" t="n">
        <v>1.164123356848388</v>
      </c>
      <c r="J79" s="5" t="n">
        <v>158.8727076655721</v>
      </c>
      <c r="K79" s="5" t="n">
        <v>1.509331185474116</v>
      </c>
      <c r="L79" s="5" t="n">
        <v>0</v>
      </c>
      <c r="M79" s="4" t="inlineStr"/>
    </row>
    <row r="80">
      <c r="A80" s="6" t="inlineStr">
        <is>
          <t>2022-04</t>
        </is>
      </c>
      <c r="B80" s="6" t="n">
        <v>2022</v>
      </c>
      <c r="C80" s="6" t="n">
        <v>4</v>
      </c>
      <c r="D80" s="7" t="n">
        <v>6.919188952975126</v>
      </c>
      <c r="E80" s="7" t="n">
        <v>2.873261768703109</v>
      </c>
      <c r="F80" s="7" t="n">
        <v>0.1853468480834958</v>
      </c>
      <c r="G80" s="7" t="n">
        <v>0.0683199811401367</v>
      </c>
      <c r="H80" s="7" t="n">
        <v>4.83926811599283</v>
      </c>
      <c r="I80" s="7" t="n">
        <v>1.397913141683899</v>
      </c>
      <c r="J80" s="7" t="n">
        <v>155.1424872277392</v>
      </c>
      <c r="K80" s="7" t="n">
        <v>6.590351441324994</v>
      </c>
      <c r="L80" s="7" t="n">
        <v>0</v>
      </c>
      <c r="M80" s="6" t="inlineStr"/>
    </row>
    <row r="81">
      <c r="A81" s="4" t="inlineStr">
        <is>
          <t>2022-05</t>
        </is>
      </c>
      <c r="B81" s="4" t="n">
        <v>2022</v>
      </c>
      <c r="C81" s="4" t="n">
        <v>5</v>
      </c>
      <c r="D81" s="5" t="n">
        <v>6.925703704581185</v>
      </c>
      <c r="E81" s="5" t="n">
        <v>2.709630611210609</v>
      </c>
      <c r="F81" s="5" t="n">
        <v>0.2269295282257676</v>
      </c>
      <c r="G81" s="5" t="n">
        <v>0.0785675249023437</v>
      </c>
      <c r="H81" s="5" t="n">
        <v>2.917152184021008</v>
      </c>
      <c r="I81" s="5" t="n">
        <v>1.463871730547967</v>
      </c>
      <c r="J81" s="5" t="n">
        <v>159.0501053324971</v>
      </c>
      <c r="K81" s="5" t="n">
        <v>4.64417686164783</v>
      </c>
      <c r="L81" s="5" t="n">
        <v>0</v>
      </c>
      <c r="M81" s="4" t="inlineStr"/>
    </row>
    <row r="82">
      <c r="A82" s="6" t="inlineStr">
        <is>
          <t>2022-06</t>
        </is>
      </c>
      <c r="B82" s="6" t="n">
        <v>2022</v>
      </c>
      <c r="C82" s="6" t="n">
        <v>6</v>
      </c>
      <c r="D82" s="7" t="n">
        <v>6.81427479205459</v>
      </c>
      <c r="E82" s="7" t="n">
        <v>1.92136437569173</v>
      </c>
      <c r="F82" s="7" t="n">
        <v>0.1768054445190427</v>
      </c>
      <c r="G82" s="7" t="n">
        <v>0.0503870956420898</v>
      </c>
      <c r="H82" s="7" t="n">
        <v>3.120949546875007</v>
      </c>
      <c r="I82" s="7" t="n">
        <v>1.108194195642086</v>
      </c>
      <c r="J82" s="7" t="n">
        <v>159.849345162301</v>
      </c>
      <c r="K82" s="7" t="n">
        <v>4.974816864912825</v>
      </c>
      <c r="L82" s="7" t="n">
        <v>0</v>
      </c>
      <c r="M82" s="6" t="inlineStr"/>
    </row>
    <row r="83">
      <c r="A83" s="8" t="inlineStr">
        <is>
          <t>2022-07</t>
        </is>
      </c>
      <c r="B83" s="8" t="n">
        <v>2022</v>
      </c>
      <c r="C83" s="8" t="n">
        <v>7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10" t="inlineStr">
        <is>
          <t>LOW DATA</t>
        </is>
      </c>
    </row>
    <row r="84">
      <c r="A84" s="8" t="inlineStr">
        <is>
          <t>2022-08</t>
        </is>
      </c>
      <c r="B84" s="8" t="n">
        <v>2022</v>
      </c>
      <c r="C84" s="8" t="n">
        <v>8</v>
      </c>
      <c r="D84" s="9" t="n">
        <v>0.255403527404785</v>
      </c>
      <c r="E84" s="9" t="n">
        <v>0.3588229351196285</v>
      </c>
      <c r="F84" s="9" t="n">
        <v>0.2527169243087466</v>
      </c>
      <c r="G84" s="9" t="n">
        <v>0</v>
      </c>
      <c r="H84" s="9" t="n">
        <v>0.1790023906604245</v>
      </c>
      <c r="I84" s="9" t="n">
        <v>0.0170780169677734</v>
      </c>
      <c r="J84" s="9" t="n">
        <v>7.772993094838068</v>
      </c>
      <c r="K84" s="9" t="n">
        <v>0.1870404449462894</v>
      </c>
      <c r="L84" s="9" t="n">
        <v>0</v>
      </c>
      <c r="M84" s="10" t="inlineStr">
        <is>
          <t>LOW DATA</t>
        </is>
      </c>
    </row>
    <row r="85">
      <c r="A85" s="8" t="inlineStr">
        <is>
          <t>2022-09</t>
        </is>
      </c>
      <c r="B85" s="8" t="n">
        <v>2022</v>
      </c>
      <c r="C85" s="8" t="n">
        <v>9</v>
      </c>
      <c r="D85" s="9" t="n">
        <v>1.804790323894421</v>
      </c>
      <c r="E85" s="9" t="n">
        <v>0.1383528810424805</v>
      </c>
      <c r="F85" s="9" t="n">
        <v>0.026479030883789</v>
      </c>
      <c r="G85" s="9" t="n">
        <v>0</v>
      </c>
      <c r="H85" s="9" t="n">
        <v>0.0316041093139648</v>
      </c>
      <c r="I85" s="9" t="n">
        <v>0</v>
      </c>
      <c r="J85" s="9" t="n">
        <v>4.793530565130046</v>
      </c>
      <c r="K85" s="9" t="n">
        <v>0.019642726196289</v>
      </c>
      <c r="L85" s="9" t="n">
        <v>0.0051241561279296</v>
      </c>
      <c r="M85" s="10" t="inlineStr">
        <is>
          <t>LOW DATA</t>
        </is>
      </c>
    </row>
    <row r="86">
      <c r="A86" s="6" t="inlineStr">
        <is>
          <t>2022-10</t>
        </is>
      </c>
      <c r="B86" s="6" t="n">
        <v>2022</v>
      </c>
      <c r="C86" s="6" t="n">
        <v>10</v>
      </c>
      <c r="D86" s="7" t="n">
        <v>7.760935925749175</v>
      </c>
      <c r="E86" s="7" t="n">
        <v>11.77583646778343</v>
      </c>
      <c r="F86" s="7" t="n">
        <v>0.9716268685034684</v>
      </c>
      <c r="G86" s="7" t="n">
        <v>0.2360704187227143</v>
      </c>
      <c r="H86" s="7" t="n">
        <v>2.209886525944734</v>
      </c>
      <c r="I86" s="7" t="n">
        <v>0.0609815360849417</v>
      </c>
      <c r="J86" s="7" t="n">
        <v>154.9401712963739</v>
      </c>
      <c r="K86" s="7" t="n">
        <v>0.0606284384765625</v>
      </c>
      <c r="L86" s="7" t="n">
        <v>0</v>
      </c>
      <c r="M86" s="6" t="inlineStr"/>
    </row>
    <row r="87">
      <c r="A87" s="4" t="inlineStr">
        <is>
          <t>2022-11</t>
        </is>
      </c>
      <c r="B87" s="4" t="n">
        <v>2022</v>
      </c>
      <c r="C87" s="4" t="n">
        <v>11</v>
      </c>
      <c r="D87" s="5" t="n">
        <v>7.540505403094814</v>
      </c>
      <c r="E87" s="5" t="n">
        <v>12.37238528515765</v>
      </c>
      <c r="F87" s="5" t="n">
        <v>0.6170841030172918</v>
      </c>
      <c r="G87" s="5" t="n">
        <v>0.1648258251342773</v>
      </c>
      <c r="H87" s="5" t="n">
        <v>1.95996626812985</v>
      </c>
      <c r="I87" s="5" t="n">
        <v>0.140207425362142</v>
      </c>
      <c r="J87" s="5" t="n">
        <v>155.084524875202</v>
      </c>
      <c r="K87" s="5" t="n">
        <v>0.136638292541504</v>
      </c>
      <c r="L87" s="5" t="n">
        <v>0</v>
      </c>
      <c r="M87" s="4" t="inlineStr"/>
    </row>
    <row r="88">
      <c r="A88" s="6" t="inlineStr">
        <is>
          <t>2022-12</t>
        </is>
      </c>
      <c r="B88" s="6" t="n">
        <v>2022</v>
      </c>
      <c r="C88" s="6" t="n">
        <v>12</v>
      </c>
      <c r="D88" s="7" t="n">
        <v>7.399827078228163</v>
      </c>
      <c r="E88" s="7" t="n">
        <v>10.4495970939726</v>
      </c>
      <c r="F88" s="7" t="n">
        <v>0.3441139068605898</v>
      </c>
      <c r="G88" s="7" t="n">
        <v>0.1742325212402344</v>
      </c>
      <c r="H88" s="7" t="n">
        <v>2.522316829188219</v>
      </c>
      <c r="I88" s="7" t="n">
        <v>0.6983456491794972</v>
      </c>
      <c r="J88" s="7" t="n">
        <v>156.2237945755376</v>
      </c>
      <c r="K88" s="7" t="n">
        <v>0.2039098234303198</v>
      </c>
      <c r="L88" s="7" t="n">
        <v>0</v>
      </c>
      <c r="M88" s="6" t="inlineStr"/>
    </row>
    <row r="89">
      <c r="A89" s="4" t="inlineStr">
        <is>
          <t>2023-01</t>
        </is>
      </c>
      <c r="B89" s="4" t="n">
        <v>2023</v>
      </c>
      <c r="C89" s="4" t="n">
        <v>1</v>
      </c>
      <c r="D89" s="5" t="n">
        <v>7.230046613381075</v>
      </c>
      <c r="E89" s="5" t="n">
        <v>8.784127738157268</v>
      </c>
      <c r="F89" s="5" t="n">
        <v>0.3365189179687496</v>
      </c>
      <c r="G89" s="5" t="n">
        <v>0.1571397886352538</v>
      </c>
      <c r="H89" s="5" t="n">
        <v>2.736240991323217</v>
      </c>
      <c r="I89" s="5" t="n">
        <v>0.8994500322832913</v>
      </c>
      <c r="J89" s="5" t="n">
        <v>157.49310820841</v>
      </c>
      <c r="K89" s="5" t="n">
        <v>0.3795051874803722</v>
      </c>
      <c r="L89" s="5" t="n">
        <v>0</v>
      </c>
      <c r="M89" s="4" t="inlineStr"/>
    </row>
    <row r="90">
      <c r="A90" s="6" t="inlineStr">
        <is>
          <t>2023-02</t>
        </is>
      </c>
      <c r="B90" s="6" t="n">
        <v>2023</v>
      </c>
      <c r="C90" s="6" t="n">
        <v>2</v>
      </c>
      <c r="D90" s="7" t="n">
        <v>7.082846660282154</v>
      </c>
      <c r="E90" s="7" t="n">
        <v>5.742097348253911</v>
      </c>
      <c r="F90" s="7" t="n">
        <v>0.3074847818603505</v>
      </c>
      <c r="G90" s="7" t="n">
        <v>0.1912986531982422</v>
      </c>
      <c r="H90" s="7" t="n">
        <v>3.788200836597913</v>
      </c>
      <c r="I90" s="7" t="n">
        <v>1.427097102803308</v>
      </c>
      <c r="J90" s="7" t="n">
        <v>158.8516913687271</v>
      </c>
      <c r="K90" s="7" t="n">
        <v>0.6254207259133756</v>
      </c>
      <c r="L90" s="7" t="n">
        <v>0</v>
      </c>
      <c r="M90" s="6" t="inlineStr"/>
    </row>
    <row r="91">
      <c r="A91" s="4" t="inlineStr">
        <is>
          <t>2023-03</t>
        </is>
      </c>
      <c r="B91" s="4" t="n">
        <v>2023</v>
      </c>
      <c r="C91" s="4" t="n">
        <v>3</v>
      </c>
      <c r="D91" s="5" t="n">
        <v>6.859975671916597</v>
      </c>
      <c r="E91" s="5" t="n">
        <v>4.041627038499085</v>
      </c>
      <c r="F91" s="5" t="n">
        <v>0.2417120059814449</v>
      </c>
      <c r="G91" s="5" t="n">
        <v>0.203279406433106</v>
      </c>
      <c r="H91" s="5" t="n">
        <v>8.626958436237324</v>
      </c>
      <c r="I91" s="5" t="n">
        <v>0.7257007331947474</v>
      </c>
      <c r="J91" s="5" t="n">
        <v>152.6917336319867</v>
      </c>
      <c r="K91" s="5" t="n">
        <v>4.625150553392311</v>
      </c>
      <c r="L91" s="5" t="n">
        <v>0</v>
      </c>
      <c r="M91" s="4" t="inlineStr"/>
    </row>
    <row r="92">
      <c r="A92" s="6" t="inlineStr">
        <is>
          <t>2023-04</t>
        </is>
      </c>
      <c r="B92" s="6" t="n">
        <v>2023</v>
      </c>
      <c r="C92" s="6" t="n">
        <v>4</v>
      </c>
      <c r="D92" s="7" t="n">
        <v>6.404422960750082</v>
      </c>
      <c r="E92" s="7" t="n">
        <v>4.301879939135266</v>
      </c>
      <c r="F92" s="7" t="n">
        <v>0.422105410603361</v>
      </c>
      <c r="G92" s="7" t="n">
        <v>0.1127199545898436</v>
      </c>
      <c r="H92" s="7" t="n">
        <v>3.67293575716697</v>
      </c>
      <c r="I92" s="7" t="n">
        <v>1.626076096849378</v>
      </c>
      <c r="J92" s="7" t="n">
        <v>160.7421883366213</v>
      </c>
      <c r="K92" s="7" t="n">
        <v>0.7338090219259827</v>
      </c>
      <c r="L92" s="7" t="n">
        <v>0</v>
      </c>
      <c r="M92" s="6" t="inlineStr"/>
    </row>
    <row r="93">
      <c r="A93" s="4" t="inlineStr">
        <is>
          <t>2023-05</t>
        </is>
      </c>
      <c r="B93" s="4" t="n">
        <v>2023</v>
      </c>
      <c r="C93" s="4" t="n">
        <v>5</v>
      </c>
      <c r="D93" s="5" t="n">
        <v>6.761197760904378</v>
      </c>
      <c r="E93" s="5" t="n">
        <v>6.417252731734385</v>
      </c>
      <c r="F93" s="5" t="n">
        <v>0.5531814796997055</v>
      </c>
      <c r="G93" s="5" t="n">
        <v>0.06660823797607419</v>
      </c>
      <c r="H93" s="5" t="n">
        <v>3.528543955881429</v>
      </c>
      <c r="I93" s="5" t="n">
        <v>0.0992206558308919</v>
      </c>
      <c r="J93" s="5" t="n">
        <v>159.4009902811015</v>
      </c>
      <c r="K93" s="5" t="n">
        <v>1.189142374511721</v>
      </c>
      <c r="L93" s="5" t="n">
        <v>0</v>
      </c>
      <c r="M93" s="4" t="inlineStr"/>
    </row>
    <row r="94">
      <c r="A94" s="6" t="inlineStr">
        <is>
          <t>2023-06</t>
        </is>
      </c>
      <c r="B94" s="6" t="n">
        <v>2023</v>
      </c>
      <c r="C94" s="6" t="n">
        <v>6</v>
      </c>
      <c r="D94" s="7" t="n">
        <v>6.960616289091167</v>
      </c>
      <c r="E94" s="7" t="n">
        <v>5.378711492751388</v>
      </c>
      <c r="F94" s="7" t="n">
        <v>0.7819968459439161</v>
      </c>
      <c r="G94" s="7" t="n">
        <v>0.1212689167480467</v>
      </c>
      <c r="H94" s="7" t="n">
        <v>3.042669119757693</v>
      </c>
      <c r="I94" s="7" t="n">
        <v>0.1742290477905274</v>
      </c>
      <c r="J94" s="7" t="n">
        <v>160.975813316768</v>
      </c>
      <c r="K94" s="7" t="n">
        <v>0.5808324487915048</v>
      </c>
      <c r="L94" s="7" t="n">
        <v>0</v>
      </c>
      <c r="M94" s="6" t="inlineStr"/>
    </row>
    <row r="95">
      <c r="A95" s="8" t="inlineStr">
        <is>
          <t>2023-07</t>
        </is>
      </c>
      <c r="B95" s="8" t="n">
        <v>2023</v>
      </c>
      <c r="C95" s="8" t="n">
        <v>7</v>
      </c>
      <c r="D95" s="9" t="n">
        <v>0.0068340783691406</v>
      </c>
      <c r="E95" s="9" t="n">
        <v>0.0819911524359011</v>
      </c>
      <c r="F95" s="9" t="n">
        <v>0.0307520322875976</v>
      </c>
      <c r="G95" s="9" t="n">
        <v>0</v>
      </c>
      <c r="H95" s="9" t="n">
        <v>0.0080095701789407</v>
      </c>
      <c r="I95" s="9" t="n">
        <v>0</v>
      </c>
      <c r="J95" s="9" t="n">
        <v>0.7681188301025386</v>
      </c>
      <c r="K95" s="9" t="n">
        <v>0.0538149352416992</v>
      </c>
      <c r="L95" s="9" t="n">
        <v>0</v>
      </c>
      <c r="M95" s="10" t="inlineStr">
        <is>
          <t>LOW DATA</t>
        </is>
      </c>
    </row>
    <row r="96">
      <c r="A96" s="8" t="inlineStr">
        <is>
          <t>2023-08</t>
        </is>
      </c>
      <c r="B96" s="8" t="n">
        <v>2023</v>
      </c>
      <c r="C96" s="8" t="n">
        <v>8</v>
      </c>
      <c r="D96" s="9" t="n">
        <v>0.2459544779052734</v>
      </c>
      <c r="E96" s="9" t="n">
        <v>0.0049576875672583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0.0119583074951171</v>
      </c>
      <c r="K96" s="9" t="n">
        <v>0.0008542056884765625</v>
      </c>
      <c r="L96" s="9" t="n">
        <v>0</v>
      </c>
      <c r="M96" s="10" t="inlineStr">
        <is>
          <t>LOW DATA</t>
        </is>
      </c>
    </row>
    <row r="97">
      <c r="A97" s="8" t="inlineStr">
        <is>
          <t>2023-09</t>
        </is>
      </c>
      <c r="B97" s="8" t="n">
        <v>2023</v>
      </c>
      <c r="C97" s="8" t="n">
        <v>9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0</v>
      </c>
      <c r="L97" s="9" t="n">
        <v>0</v>
      </c>
      <c r="M97" s="10" t="inlineStr">
        <is>
          <t>LOW DATA</t>
        </is>
      </c>
    </row>
    <row r="98">
      <c r="A98" s="6" t="inlineStr">
        <is>
          <t>2023-10</t>
        </is>
      </c>
      <c r="B98" s="6" t="n">
        <v>2023</v>
      </c>
      <c r="C98" s="6" t="n">
        <v>10</v>
      </c>
      <c r="D98" s="7" t="n">
        <v>7.849963683189475</v>
      </c>
      <c r="E98" s="7" t="n">
        <v>11.52440201418091</v>
      </c>
      <c r="F98" s="7" t="n">
        <v>0.5751024034062404</v>
      </c>
      <c r="G98" s="7" t="n">
        <v>0.0712042870447495</v>
      </c>
      <c r="H98" s="7" t="n">
        <v>2.044593060528938</v>
      </c>
      <c r="I98" s="7" t="n">
        <v>0.0600790895972158</v>
      </c>
      <c r="J98" s="7" t="n">
        <v>155.6636050308125</v>
      </c>
      <c r="K98" s="7" t="n">
        <v>0.2271879088745119</v>
      </c>
      <c r="L98" s="7" t="n">
        <v>0</v>
      </c>
      <c r="M98" s="6" t="inlineStr"/>
    </row>
    <row r="99">
      <c r="A99" s="8" t="inlineStr">
        <is>
          <t>2023-11</t>
        </is>
      </c>
      <c r="B99" s="8" t="n">
        <v>2023</v>
      </c>
      <c r="C99" s="8" t="n">
        <v>11</v>
      </c>
      <c r="D99" s="9" t="n">
        <v>4.17172255207953</v>
      </c>
      <c r="E99" s="9" t="n">
        <v>1.37539175331193</v>
      </c>
      <c r="F99" s="9" t="n">
        <v>0.1166563319144454</v>
      </c>
      <c r="G99" s="9" t="n">
        <v>0.0469664475708007</v>
      </c>
      <c r="H99" s="9" t="n">
        <v>0.2500529458196909</v>
      </c>
      <c r="I99" s="9" t="n">
        <v>0.098486245758655</v>
      </c>
      <c r="J99" s="9" t="n">
        <v>20.87977186450316</v>
      </c>
      <c r="K99" s="9" t="n">
        <v>0.06405120407547291</v>
      </c>
      <c r="L99" s="9" t="n">
        <v>0</v>
      </c>
      <c r="M99" s="10" t="inlineStr">
        <is>
          <t>LOW DATA</t>
        </is>
      </c>
    </row>
    <row r="100">
      <c r="A100" s="6" t="inlineStr">
        <is>
          <t>2023-12</t>
        </is>
      </c>
      <c r="B100" s="6" t="n">
        <v>2023</v>
      </c>
      <c r="C100" s="6" t="n">
        <v>12</v>
      </c>
      <c r="D100" s="7" t="n">
        <v>7.12690552928564</v>
      </c>
      <c r="E100" s="7" t="n">
        <v>9.889375369126483</v>
      </c>
      <c r="F100" s="7" t="n">
        <v>0.3847333987845619</v>
      </c>
      <c r="G100" s="7" t="n">
        <v>0.1024778233642577</v>
      </c>
      <c r="H100" s="7" t="n">
        <v>3.2531496917239</v>
      </c>
      <c r="I100" s="7" t="n">
        <v>0.4083235280890969</v>
      </c>
      <c r="J100" s="7" t="n">
        <v>156.6950776534333</v>
      </c>
      <c r="K100" s="7" t="n">
        <v>0.1543867902271945</v>
      </c>
      <c r="L100" s="7" t="n">
        <v>0.0017076936035156</v>
      </c>
      <c r="M100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5" customHeight="1">
      <c r="A1" s="11" t="inlineStr">
        <is>
          <t>Built-up (Urban) Area — Monthly 2016–2023</t>
        </is>
      </c>
    </row>
    <row r="2">
      <c r="A2" s="3" t="n"/>
      <c r="B2" s="3" t="n"/>
      <c r="C2" s="3" t="n"/>
      <c r="D2" s="3" t="n"/>
    </row>
    <row r="3">
      <c r="A3" s="4" t="inlineStr">
        <is>
          <t>2016-01</t>
        </is>
      </c>
      <c r="B3" s="5" t="n">
        <v>157.06</v>
      </c>
      <c r="C3" s="5" t="n"/>
      <c r="D3" s="4" t="inlineStr"/>
    </row>
    <row r="4">
      <c r="A4" s="6" t="inlineStr">
        <is>
          <t>2016-02</t>
        </is>
      </c>
      <c r="B4" s="7" t="n">
        <v>150.684</v>
      </c>
      <c r="C4" s="7" t="n"/>
      <c r="D4" s="6" t="inlineStr"/>
    </row>
    <row r="5">
      <c r="A5" s="4" t="inlineStr">
        <is>
          <t>2016-03</t>
        </is>
      </c>
      <c r="B5" s="5" t="n">
        <v>157.809</v>
      </c>
      <c r="C5" s="5" t="n"/>
      <c r="D5" s="4" t="inlineStr"/>
    </row>
    <row r="6">
      <c r="A6" s="6" t="inlineStr">
        <is>
          <t>2016-04</t>
        </is>
      </c>
      <c r="B6" s="7" t="n">
        <v>155.905</v>
      </c>
      <c r="C6" s="7" t="n"/>
      <c r="D6" s="6" t="inlineStr"/>
    </row>
    <row r="7">
      <c r="A7" s="4" t="inlineStr">
        <is>
          <t>2016-05</t>
        </is>
      </c>
      <c r="B7" s="5" t="n">
        <v>158.75</v>
      </c>
      <c r="C7" s="5" t="n"/>
      <c r="D7" s="4" t="inlineStr"/>
    </row>
    <row r="8">
      <c r="A8" s="8" t="inlineStr">
        <is>
          <t>2016-06</t>
        </is>
      </c>
      <c r="B8" s="9" t="n">
        <v>0</v>
      </c>
      <c r="C8" s="9" t="n"/>
      <c r="D8" s="10" t="inlineStr">
        <is>
          <t>LOW DATA</t>
        </is>
      </c>
    </row>
    <row r="9">
      <c r="A9" s="8" t="inlineStr">
        <is>
          <t>2016-07</t>
        </is>
      </c>
      <c r="B9" s="9" t="n">
        <v>3.981</v>
      </c>
      <c r="C9" s="9" t="n"/>
      <c r="D9" s="10" t="inlineStr">
        <is>
          <t>LOW DATA</t>
        </is>
      </c>
    </row>
    <row r="10">
      <c r="A10" s="8" t="inlineStr">
        <is>
          <t>2016-08</t>
        </is>
      </c>
      <c r="B10" s="9" t="n">
        <v>0</v>
      </c>
      <c r="C10" s="9" t="n"/>
      <c r="D10" s="10" t="inlineStr">
        <is>
          <t>LOW DATA</t>
        </is>
      </c>
    </row>
    <row r="11">
      <c r="A11" s="8" t="inlineStr">
        <is>
          <t>2016-09</t>
        </is>
      </c>
      <c r="B11" s="9" t="n">
        <v>24.587</v>
      </c>
      <c r="C11" s="9" t="n"/>
      <c r="D11" s="10" t="inlineStr">
        <is>
          <t>LOW DATA</t>
        </is>
      </c>
    </row>
    <row r="12">
      <c r="A12" s="6" t="inlineStr">
        <is>
          <t>2016-10</t>
        </is>
      </c>
      <c r="B12" s="7" t="n">
        <v>155.498</v>
      </c>
      <c r="C12" s="7" t="n"/>
      <c r="D12" s="6" t="inlineStr"/>
    </row>
    <row r="13">
      <c r="A13" s="4" t="inlineStr">
        <is>
          <t>2016-11</t>
        </is>
      </c>
      <c r="B13" s="5" t="n">
        <v>154.781</v>
      </c>
      <c r="C13" s="5" t="n"/>
      <c r="D13" s="4" t="inlineStr"/>
    </row>
    <row r="14">
      <c r="A14" s="6" t="inlineStr">
        <is>
          <t>2016-12</t>
        </is>
      </c>
      <c r="B14" s="7" t="n">
        <v>155.78</v>
      </c>
      <c r="C14" s="7">
        <f>AVERAGE(B3:B14)</f>
        <v/>
      </c>
      <c r="D14" s="6" t="inlineStr"/>
    </row>
    <row r="15">
      <c r="A15" s="4" t="inlineStr">
        <is>
          <t>2017-01</t>
        </is>
      </c>
      <c r="B15" s="5" t="n">
        <v>60.861</v>
      </c>
      <c r="C15" s="5">
        <f>AVERAGE(B4:B15)</f>
        <v/>
      </c>
      <c r="D15" s="4" t="inlineStr"/>
    </row>
    <row r="16">
      <c r="A16" s="6" t="inlineStr">
        <is>
          <t>2017-02</t>
        </is>
      </c>
      <c r="B16" s="7" t="n">
        <v>156.372</v>
      </c>
      <c r="C16" s="7">
        <f>AVERAGE(B5:B16)</f>
        <v/>
      </c>
      <c r="D16" s="6" t="inlineStr"/>
    </row>
    <row r="17">
      <c r="A17" s="4" t="inlineStr">
        <is>
          <t>2017-03</t>
        </is>
      </c>
      <c r="B17" s="5" t="n">
        <v>57.496</v>
      </c>
      <c r="C17" s="5">
        <f>AVERAGE(B6:B17)</f>
        <v/>
      </c>
      <c r="D17" s="4" t="inlineStr"/>
    </row>
    <row r="18">
      <c r="A18" s="6" t="inlineStr">
        <is>
          <t>2017-04</t>
        </is>
      </c>
      <c r="B18" s="7" t="n">
        <v>153.35</v>
      </c>
      <c r="C18" s="7">
        <f>AVERAGE(B7:B18)</f>
        <v/>
      </c>
      <c r="D18" s="6" t="inlineStr"/>
    </row>
    <row r="19">
      <c r="A19" s="4" t="inlineStr">
        <is>
          <t>2017-05</t>
        </is>
      </c>
      <c r="B19" s="5" t="n">
        <v>157.368</v>
      </c>
      <c r="C19" s="5">
        <f>AVERAGE(B8:B19)</f>
        <v/>
      </c>
      <c r="D19" s="4" t="inlineStr"/>
    </row>
    <row r="20">
      <c r="A20" s="6" t="inlineStr">
        <is>
          <t>2017-06</t>
        </is>
      </c>
      <c r="B20" s="7" t="n">
        <v>126.843</v>
      </c>
      <c r="C20" s="7">
        <f>AVERAGE(B9:B20)</f>
        <v/>
      </c>
      <c r="D20" s="6" t="inlineStr"/>
    </row>
    <row r="21">
      <c r="A21" s="8" t="inlineStr">
        <is>
          <t>2017-07</t>
        </is>
      </c>
      <c r="B21" s="9" t="n">
        <v>5.336</v>
      </c>
      <c r="C21" s="9">
        <f>AVERAGE(B10:B21)</f>
        <v/>
      </c>
      <c r="D21" s="10" t="inlineStr">
        <is>
          <t>LOW DATA</t>
        </is>
      </c>
    </row>
    <row r="22">
      <c r="A22" s="8" t="inlineStr">
        <is>
          <t>2017-08</t>
        </is>
      </c>
      <c r="B22" s="9" t="n">
        <v>0.343</v>
      </c>
      <c r="C22" s="9">
        <f>AVERAGE(B11:B22)</f>
        <v/>
      </c>
      <c r="D22" s="10" t="inlineStr">
        <is>
          <t>LOW DATA</t>
        </is>
      </c>
    </row>
    <row r="23">
      <c r="A23" s="4" t="inlineStr">
        <is>
          <t>2017-09</t>
        </is>
      </c>
      <c r="B23" s="5" t="n">
        <v>125.491</v>
      </c>
      <c r="C23" s="5">
        <f>AVERAGE(B12:B23)</f>
        <v/>
      </c>
      <c r="D23" s="4" t="inlineStr"/>
    </row>
    <row r="24">
      <c r="A24" s="6" t="inlineStr">
        <is>
          <t>2017-10</t>
        </is>
      </c>
      <c r="B24" s="7" t="n">
        <v>54.088</v>
      </c>
      <c r="C24" s="7">
        <f>AVERAGE(B13:B24)</f>
        <v/>
      </c>
      <c r="D24" s="6" t="inlineStr"/>
    </row>
    <row r="25">
      <c r="A25" s="4" t="inlineStr">
        <is>
          <t>2017-11</t>
        </is>
      </c>
      <c r="B25" s="5" t="n">
        <v>154.465</v>
      </c>
      <c r="C25" s="5">
        <f>AVERAGE(B14:B25)</f>
        <v/>
      </c>
      <c r="D25" s="4" t="inlineStr"/>
    </row>
    <row r="26">
      <c r="A26" s="6" t="inlineStr">
        <is>
          <t>2017-12</t>
        </is>
      </c>
      <c r="B26" s="7" t="n">
        <v>154.292</v>
      </c>
      <c r="C26" s="7">
        <f>AVERAGE(B15:B26)</f>
        <v/>
      </c>
      <c r="D26" s="6" t="inlineStr"/>
    </row>
    <row r="27">
      <c r="A27" s="4" t="inlineStr">
        <is>
          <t>2018-01</t>
        </is>
      </c>
      <c r="B27" s="5" t="n">
        <v>150.705</v>
      </c>
      <c r="C27" s="5">
        <f>AVERAGE(B16:B27)</f>
        <v/>
      </c>
      <c r="D27" s="4" t="inlineStr"/>
    </row>
    <row r="28">
      <c r="A28" s="6" t="inlineStr">
        <is>
          <t>2018-02</t>
        </is>
      </c>
      <c r="B28" s="7" t="n">
        <v>157.257</v>
      </c>
      <c r="C28" s="7">
        <f>AVERAGE(B17:B28)</f>
        <v/>
      </c>
      <c r="D28" s="6" t="inlineStr"/>
    </row>
    <row r="29">
      <c r="A29" s="4" t="inlineStr">
        <is>
          <t>2018-03</t>
        </is>
      </c>
      <c r="B29" s="5" t="n">
        <v>153.718</v>
      </c>
      <c r="C29" s="5">
        <f>AVERAGE(B18:B29)</f>
        <v/>
      </c>
      <c r="D29" s="4" t="inlineStr"/>
    </row>
    <row r="30">
      <c r="A30" s="6" t="inlineStr">
        <is>
          <t>2018-04</t>
        </is>
      </c>
      <c r="B30" s="7" t="n">
        <v>159.164</v>
      </c>
      <c r="C30" s="7">
        <f>AVERAGE(B19:B30)</f>
        <v/>
      </c>
      <c r="D30" s="6" t="inlineStr"/>
    </row>
    <row r="31">
      <c r="A31" s="4" t="inlineStr">
        <is>
          <t>2018-05</t>
        </is>
      </c>
      <c r="B31" s="5" t="n">
        <v>156.719</v>
      </c>
      <c r="C31" s="5">
        <f>AVERAGE(B20:B31)</f>
        <v/>
      </c>
      <c r="D31" s="4" t="inlineStr"/>
    </row>
    <row r="32">
      <c r="A32" s="8" t="inlineStr">
        <is>
          <t>2018-06</t>
        </is>
      </c>
      <c r="B32" s="9" t="n">
        <v>0.522</v>
      </c>
      <c r="C32" s="9">
        <f>AVERAGE(B21:B32)</f>
        <v/>
      </c>
      <c r="D32" s="10" t="inlineStr">
        <is>
          <t>LOW DATA</t>
        </is>
      </c>
    </row>
    <row r="33">
      <c r="A33" s="8" t="inlineStr">
        <is>
          <t>2018-07</t>
        </is>
      </c>
      <c r="B33" s="9" t="n">
        <v>0</v>
      </c>
      <c r="C33" s="9">
        <f>AVERAGE(B22:B33)</f>
        <v/>
      </c>
      <c r="D33" s="10" t="inlineStr">
        <is>
          <t>LOW DATA</t>
        </is>
      </c>
    </row>
    <row r="34">
      <c r="A34" s="8" t="inlineStr">
        <is>
          <t>2018-08</t>
        </is>
      </c>
      <c r="B34" s="9" t="n">
        <v>0</v>
      </c>
      <c r="C34" s="9">
        <f>AVERAGE(B23:B34)</f>
        <v/>
      </c>
      <c r="D34" s="10" t="inlineStr">
        <is>
          <t>LOW DATA</t>
        </is>
      </c>
    </row>
    <row r="35">
      <c r="A35" s="4" t="inlineStr">
        <is>
          <t>2018-09</t>
        </is>
      </c>
      <c r="B35" s="5" t="n">
        <v>155.783</v>
      </c>
      <c r="C35" s="5">
        <f>AVERAGE(B24:B35)</f>
        <v/>
      </c>
      <c r="D35" s="4" t="inlineStr"/>
    </row>
    <row r="36">
      <c r="A36" s="6" t="inlineStr">
        <is>
          <t>2018-10</t>
        </is>
      </c>
      <c r="B36" s="7" t="n">
        <v>157.421</v>
      </c>
      <c r="C36" s="7">
        <f>AVERAGE(B25:B36)</f>
        <v/>
      </c>
      <c r="D36" s="6" t="inlineStr"/>
    </row>
    <row r="37">
      <c r="A37" s="4" t="inlineStr">
        <is>
          <t>2018-11</t>
        </is>
      </c>
      <c r="B37" s="5" t="n">
        <v>157.446</v>
      </c>
      <c r="C37" s="5">
        <f>AVERAGE(B26:B37)</f>
        <v/>
      </c>
      <c r="D37" s="4" t="inlineStr"/>
    </row>
    <row r="38">
      <c r="A38" s="6" t="inlineStr">
        <is>
          <t>2018-12</t>
        </is>
      </c>
      <c r="B38" s="7" t="n">
        <v>155.828</v>
      </c>
      <c r="C38" s="7">
        <f>AVERAGE(B27:B38)</f>
        <v/>
      </c>
      <c r="D38" s="6" t="inlineStr"/>
    </row>
    <row r="39">
      <c r="A39" s="4" t="inlineStr">
        <is>
          <t>2019-01</t>
        </is>
      </c>
      <c r="B39" s="5" t="n">
        <v>157.094</v>
      </c>
      <c r="C39" s="5">
        <f>AVERAGE(B28:B39)</f>
        <v/>
      </c>
      <c r="D39" s="4" t="inlineStr"/>
    </row>
    <row r="40">
      <c r="A40" s="6" t="inlineStr">
        <is>
          <t>2019-02</t>
        </is>
      </c>
      <c r="B40" s="7" t="n">
        <v>160.289</v>
      </c>
      <c r="C40" s="7">
        <f>AVERAGE(B29:B40)</f>
        <v/>
      </c>
      <c r="D40" s="6" t="inlineStr"/>
    </row>
    <row r="41">
      <c r="A41" s="4" t="inlineStr">
        <is>
          <t>2019-03</t>
        </is>
      </c>
      <c r="B41" s="5" t="n">
        <v>159.444</v>
      </c>
      <c r="C41" s="5">
        <f>AVERAGE(B30:B41)</f>
        <v/>
      </c>
      <c r="D41" s="4" t="inlineStr"/>
    </row>
    <row r="42">
      <c r="A42" s="6" t="inlineStr">
        <is>
          <t>2019-04</t>
        </is>
      </c>
      <c r="B42" s="7" t="n">
        <v>158.261</v>
      </c>
      <c r="C42" s="7">
        <f>AVERAGE(B31:B42)</f>
        <v/>
      </c>
      <c r="D42" s="6" t="inlineStr"/>
    </row>
    <row r="43">
      <c r="A43" s="4" t="inlineStr">
        <is>
          <t>2019-05</t>
        </is>
      </c>
      <c r="B43" s="5" t="n">
        <v>153.26</v>
      </c>
      <c r="C43" s="5">
        <f>AVERAGE(B32:B43)</f>
        <v/>
      </c>
      <c r="D43" s="4" t="inlineStr"/>
    </row>
    <row r="44">
      <c r="A44" s="6" t="inlineStr">
        <is>
          <t>2019-06</t>
        </is>
      </c>
      <c r="B44" s="7" t="n">
        <v>136.977</v>
      </c>
      <c r="C44" s="7">
        <f>AVERAGE(B33:B44)</f>
        <v/>
      </c>
      <c r="D44" s="6" t="inlineStr"/>
    </row>
    <row r="45">
      <c r="A45" s="8" t="inlineStr">
        <is>
          <t>2019-07</t>
        </is>
      </c>
      <c r="B45" s="9" t="n">
        <v>0</v>
      </c>
      <c r="C45" s="9">
        <f>AVERAGE(B34:B45)</f>
        <v/>
      </c>
      <c r="D45" s="10" t="inlineStr">
        <is>
          <t>LOW DATA</t>
        </is>
      </c>
    </row>
    <row r="46">
      <c r="A46" s="8" t="inlineStr">
        <is>
          <t>2019-08</t>
        </is>
      </c>
      <c r="B46" s="9" t="n">
        <v>17.083</v>
      </c>
      <c r="C46" s="9">
        <f>AVERAGE(B35:B46)</f>
        <v/>
      </c>
      <c r="D46" s="10" t="inlineStr">
        <is>
          <t>LOW DATA</t>
        </is>
      </c>
    </row>
    <row r="47">
      <c r="A47" s="4" t="inlineStr">
        <is>
          <t>2019-09</t>
        </is>
      </c>
      <c r="B47" s="5" t="n">
        <v>53.788</v>
      </c>
      <c r="C47" s="5">
        <f>AVERAGE(B36:B47)</f>
        <v/>
      </c>
      <c r="D47" s="4" t="inlineStr"/>
    </row>
    <row r="48">
      <c r="A48" s="8" t="inlineStr">
        <is>
          <t>2019-10</t>
        </is>
      </c>
      <c r="B48" s="9" t="n">
        <v>13.507</v>
      </c>
      <c r="C48" s="9">
        <f>AVERAGE(B37:B48)</f>
        <v/>
      </c>
      <c r="D48" s="10" t="inlineStr">
        <is>
          <t>LOW DATA</t>
        </is>
      </c>
    </row>
    <row r="49">
      <c r="A49" s="4" t="inlineStr">
        <is>
          <t>2019-11</t>
        </is>
      </c>
      <c r="B49" s="5" t="n">
        <v>154.021</v>
      </c>
      <c r="C49" s="5">
        <f>AVERAGE(B38:B49)</f>
        <v/>
      </c>
      <c r="D49" s="4" t="inlineStr"/>
    </row>
    <row r="50">
      <c r="A50" s="6" t="inlineStr">
        <is>
          <t>2019-12</t>
        </is>
      </c>
      <c r="B50" s="7" t="n">
        <v>153.511</v>
      </c>
      <c r="C50" s="7">
        <f>AVERAGE(B39:B50)</f>
        <v/>
      </c>
      <c r="D50" s="6" t="inlineStr"/>
    </row>
    <row r="51">
      <c r="A51" s="4" t="inlineStr">
        <is>
          <t>2020-01</t>
        </is>
      </c>
      <c r="B51" s="5" t="n">
        <v>157.677</v>
      </c>
      <c r="C51" s="5">
        <f>AVERAGE(B40:B51)</f>
        <v/>
      </c>
      <c r="D51" s="4" t="inlineStr"/>
    </row>
    <row r="52">
      <c r="A52" s="6" t="inlineStr">
        <is>
          <t>2020-02</t>
        </is>
      </c>
      <c r="B52" s="7" t="n">
        <v>159.752</v>
      </c>
      <c r="C52" s="7">
        <f>AVERAGE(B41:B52)</f>
        <v/>
      </c>
      <c r="D52" s="6" t="inlineStr"/>
    </row>
    <row r="53">
      <c r="A53" s="4" t="inlineStr">
        <is>
          <t>2020-03</t>
        </is>
      </c>
      <c r="B53" s="5" t="n">
        <v>160.911</v>
      </c>
      <c r="C53" s="5">
        <f>AVERAGE(B42:B53)</f>
        <v/>
      </c>
      <c r="D53" s="4" t="inlineStr"/>
    </row>
    <row r="54">
      <c r="A54" s="6" t="inlineStr">
        <is>
          <t>2020-04</t>
        </is>
      </c>
      <c r="B54" s="7" t="n">
        <v>158.63</v>
      </c>
      <c r="C54" s="7">
        <f>AVERAGE(B43:B54)</f>
        <v/>
      </c>
      <c r="D54" s="6" t="inlineStr"/>
    </row>
    <row r="55">
      <c r="A55" s="4" t="inlineStr">
        <is>
          <t>2020-05</t>
        </is>
      </c>
      <c r="B55" s="5" t="n">
        <v>157.779</v>
      </c>
      <c r="C55" s="5">
        <f>AVERAGE(B44:B55)</f>
        <v/>
      </c>
      <c r="D55" s="4" t="inlineStr"/>
    </row>
    <row r="56">
      <c r="A56" s="8" t="inlineStr">
        <is>
          <t>2020-06</t>
        </is>
      </c>
      <c r="B56" s="9" t="n">
        <v>25.322</v>
      </c>
      <c r="C56" s="9">
        <f>AVERAGE(B45:B56)</f>
        <v/>
      </c>
      <c r="D56" s="10" t="inlineStr">
        <is>
          <t>LOW DATA</t>
        </is>
      </c>
    </row>
    <row r="57">
      <c r="A57" s="8" t="inlineStr">
        <is>
          <t>2020-07</t>
        </is>
      </c>
      <c r="B57" s="9" t="n">
        <v>14.99</v>
      </c>
      <c r="C57" s="9">
        <f>AVERAGE(B46:B57)</f>
        <v/>
      </c>
      <c r="D57" s="10" t="inlineStr">
        <is>
          <t>LOW DATA</t>
        </is>
      </c>
    </row>
    <row r="58">
      <c r="A58" s="8" t="inlineStr">
        <is>
          <t>2020-08</t>
        </is>
      </c>
      <c r="B58" s="9" t="n">
        <v>27.781</v>
      </c>
      <c r="C58" s="9">
        <f>AVERAGE(B47:B58)</f>
        <v/>
      </c>
      <c r="D58" s="10" t="inlineStr">
        <is>
          <t>LOW DATA</t>
        </is>
      </c>
    </row>
    <row r="59">
      <c r="A59" s="8" t="inlineStr">
        <is>
          <t>2020-09</t>
        </is>
      </c>
      <c r="B59" s="9" t="n">
        <v>0</v>
      </c>
      <c r="C59" s="9">
        <f>AVERAGE(B48:B59)</f>
        <v/>
      </c>
      <c r="D59" s="10" t="inlineStr">
        <is>
          <t>LOW DATA</t>
        </is>
      </c>
    </row>
    <row r="60">
      <c r="A60" s="6" t="inlineStr">
        <is>
          <t>2020-10</t>
        </is>
      </c>
      <c r="B60" s="7" t="n">
        <v>151.975</v>
      </c>
      <c r="C60" s="7">
        <f>AVERAGE(B49:B60)</f>
        <v/>
      </c>
      <c r="D60" s="6" t="inlineStr"/>
    </row>
    <row r="61">
      <c r="A61" s="4" t="inlineStr">
        <is>
          <t>2020-11</t>
        </is>
      </c>
      <c r="B61" s="5" t="n">
        <v>154.955</v>
      </c>
      <c r="C61" s="5">
        <f>AVERAGE(B50:B61)</f>
        <v/>
      </c>
      <c r="D61" s="4" t="inlineStr"/>
    </row>
    <row r="62">
      <c r="A62" s="6" t="inlineStr">
        <is>
          <t>2020-12</t>
        </is>
      </c>
      <c r="B62" s="7" t="n">
        <v>154.708</v>
      </c>
      <c r="C62" s="7">
        <f>AVERAGE(B51:B62)</f>
        <v/>
      </c>
      <c r="D62" s="6" t="inlineStr"/>
    </row>
    <row r="63">
      <c r="A63" s="4" t="inlineStr">
        <is>
          <t>2021-01</t>
        </is>
      </c>
      <c r="B63" s="5" t="n">
        <v>147.201</v>
      </c>
      <c r="C63" s="5">
        <f>AVERAGE(B52:B63)</f>
        <v/>
      </c>
      <c r="D63" s="4" t="inlineStr"/>
    </row>
    <row r="64">
      <c r="A64" s="6" t="inlineStr">
        <is>
          <t>2021-02</t>
        </is>
      </c>
      <c r="B64" s="7" t="n">
        <v>157.272</v>
      </c>
      <c r="C64" s="7">
        <f>AVERAGE(B53:B64)</f>
        <v/>
      </c>
      <c r="D64" s="6" t="inlineStr"/>
    </row>
    <row r="65">
      <c r="A65" s="4" t="inlineStr">
        <is>
          <t>2021-03</t>
        </is>
      </c>
      <c r="B65" s="5" t="n">
        <v>159.199</v>
      </c>
      <c r="C65" s="5">
        <f>AVERAGE(B54:B65)</f>
        <v/>
      </c>
      <c r="D65" s="4" t="inlineStr"/>
    </row>
    <row r="66">
      <c r="A66" s="6" t="inlineStr">
        <is>
          <t>2021-04</t>
        </is>
      </c>
      <c r="B66" s="7" t="n">
        <v>157.496</v>
      </c>
      <c r="C66" s="7">
        <f>AVERAGE(B55:B66)</f>
        <v/>
      </c>
      <c r="D66" s="6" t="inlineStr"/>
    </row>
    <row r="67">
      <c r="A67" s="4" t="inlineStr">
        <is>
          <t>2021-05</t>
        </is>
      </c>
      <c r="B67" s="5" t="n">
        <v>159.295</v>
      </c>
      <c r="C67" s="5">
        <f>AVERAGE(B56:B67)</f>
        <v/>
      </c>
      <c r="D67" s="4" t="inlineStr"/>
    </row>
    <row r="68">
      <c r="A68" s="8" t="inlineStr">
        <is>
          <t>2021-06</t>
        </is>
      </c>
      <c r="B68" s="9" t="n">
        <v>20.804</v>
      </c>
      <c r="C68" s="9">
        <f>AVERAGE(B57:B68)</f>
        <v/>
      </c>
      <c r="D68" s="10" t="inlineStr">
        <is>
          <t>LOW DATA</t>
        </is>
      </c>
    </row>
    <row r="69">
      <c r="A69" s="4" t="inlineStr">
        <is>
          <t>2021-07</t>
        </is>
      </c>
      <c r="B69" s="5" t="n">
        <v>155.827</v>
      </c>
      <c r="C69" s="5">
        <f>AVERAGE(B58:B69)</f>
        <v/>
      </c>
      <c r="D69" s="4" t="inlineStr"/>
    </row>
    <row r="70">
      <c r="A70" s="8" t="inlineStr">
        <is>
          <t>2021-08</t>
        </is>
      </c>
      <c r="B70" s="9" t="n">
        <v>0</v>
      </c>
      <c r="C70" s="9">
        <f>AVERAGE(B59:B70)</f>
        <v/>
      </c>
      <c r="D70" s="10" t="inlineStr">
        <is>
          <t>LOW DATA</t>
        </is>
      </c>
    </row>
    <row r="71">
      <c r="A71" s="8" t="inlineStr">
        <is>
          <t>2021-09</t>
        </is>
      </c>
      <c r="B71" s="9" t="n">
        <v>46.189</v>
      </c>
      <c r="C71" s="9">
        <f>AVERAGE(B60:B71)</f>
        <v/>
      </c>
      <c r="D71" s="10" t="inlineStr">
        <is>
          <t>LOW DATA</t>
        </is>
      </c>
    </row>
    <row r="72">
      <c r="A72" s="6" t="inlineStr">
        <is>
          <t>2021-10</t>
        </is>
      </c>
      <c r="B72" s="7" t="n">
        <v>155.372</v>
      </c>
      <c r="C72" s="7">
        <f>AVERAGE(B61:B72)</f>
        <v/>
      </c>
      <c r="D72" s="6" t="inlineStr"/>
    </row>
    <row r="73">
      <c r="A73" s="8" t="inlineStr">
        <is>
          <t>2021-11</t>
        </is>
      </c>
      <c r="B73" s="9" t="n">
        <v>0</v>
      </c>
      <c r="C73" s="9">
        <f>AVERAGE(B62:B73)</f>
        <v/>
      </c>
      <c r="D73" s="10" t="inlineStr">
        <is>
          <t>LOW DATA</t>
        </is>
      </c>
    </row>
    <row r="74">
      <c r="A74" s="6" t="inlineStr">
        <is>
          <t>2021-12</t>
        </is>
      </c>
      <c r="B74" s="7" t="n">
        <v>155.463</v>
      </c>
      <c r="C74" s="7">
        <f>AVERAGE(B63:B74)</f>
        <v/>
      </c>
      <c r="D74" s="6" t="inlineStr"/>
    </row>
    <row r="75">
      <c r="A75" s="4" t="inlineStr">
        <is>
          <t>2022-01</t>
        </is>
      </c>
      <c r="B75" s="5" t="n">
        <v>157.955</v>
      </c>
      <c r="C75" s="5">
        <f>AVERAGE(B64:B75)</f>
        <v/>
      </c>
      <c r="D75" s="4" t="inlineStr"/>
    </row>
    <row r="76">
      <c r="A76" s="6" t="inlineStr">
        <is>
          <t>2022-02</t>
        </is>
      </c>
      <c r="B76" s="7" t="n">
        <v>158.772</v>
      </c>
      <c r="C76" s="7">
        <f>AVERAGE(B65:B76)</f>
        <v/>
      </c>
      <c r="D76" s="6" t="inlineStr"/>
    </row>
    <row r="77">
      <c r="A77" s="4" t="inlineStr">
        <is>
          <t>2022-03</t>
        </is>
      </c>
      <c r="B77" s="5" t="n">
        <v>158.873</v>
      </c>
      <c r="C77" s="5">
        <f>AVERAGE(B66:B77)</f>
        <v/>
      </c>
      <c r="D77" s="4" t="inlineStr"/>
    </row>
    <row r="78">
      <c r="A78" s="6" t="inlineStr">
        <is>
          <t>2022-04</t>
        </is>
      </c>
      <c r="B78" s="7" t="n">
        <v>155.142</v>
      </c>
      <c r="C78" s="7">
        <f>AVERAGE(B67:B78)</f>
        <v/>
      </c>
      <c r="D78" s="6" t="inlineStr"/>
    </row>
    <row r="79">
      <c r="A79" s="4" t="inlineStr">
        <is>
          <t>2022-05</t>
        </is>
      </c>
      <c r="B79" s="5" t="n">
        <v>159.05</v>
      </c>
      <c r="C79" s="5">
        <f>AVERAGE(B68:B79)</f>
        <v/>
      </c>
      <c r="D79" s="4" t="inlineStr"/>
    </row>
    <row r="80">
      <c r="A80" s="6" t="inlineStr">
        <is>
          <t>2022-06</t>
        </is>
      </c>
      <c r="B80" s="7" t="n">
        <v>159.849</v>
      </c>
      <c r="C80" s="7">
        <f>AVERAGE(B69:B80)</f>
        <v/>
      </c>
      <c r="D80" s="6" t="inlineStr"/>
    </row>
    <row r="81">
      <c r="A81" s="8" t="inlineStr">
        <is>
          <t>2022-07</t>
        </is>
      </c>
      <c r="B81" s="9" t="n">
        <v>0</v>
      </c>
      <c r="C81" s="9">
        <f>AVERAGE(B70:B81)</f>
        <v/>
      </c>
      <c r="D81" s="10" t="inlineStr">
        <is>
          <t>LOW DATA</t>
        </is>
      </c>
    </row>
    <row r="82">
      <c r="A82" s="8" t="inlineStr">
        <is>
          <t>2022-08</t>
        </is>
      </c>
      <c r="B82" s="9" t="n">
        <v>7.773</v>
      </c>
      <c r="C82" s="9">
        <f>AVERAGE(B71:B82)</f>
        <v/>
      </c>
      <c r="D82" s="10" t="inlineStr">
        <is>
          <t>LOW DATA</t>
        </is>
      </c>
    </row>
    <row r="83">
      <c r="A83" s="8" t="inlineStr">
        <is>
          <t>2022-09</t>
        </is>
      </c>
      <c r="B83" s="9" t="n">
        <v>4.794</v>
      </c>
      <c r="C83" s="9">
        <f>AVERAGE(B72:B83)</f>
        <v/>
      </c>
      <c r="D83" s="10" t="inlineStr">
        <is>
          <t>LOW DATA</t>
        </is>
      </c>
    </row>
    <row r="84">
      <c r="A84" s="6" t="inlineStr">
        <is>
          <t>2022-10</t>
        </is>
      </c>
      <c r="B84" s="7" t="n">
        <v>154.94</v>
      </c>
      <c r="C84" s="7">
        <f>AVERAGE(B73:B84)</f>
        <v/>
      </c>
      <c r="D84" s="6" t="inlineStr"/>
    </row>
    <row r="85">
      <c r="A85" s="4" t="inlineStr">
        <is>
          <t>2022-11</t>
        </is>
      </c>
      <c r="B85" s="5" t="n">
        <v>155.085</v>
      </c>
      <c r="C85" s="5">
        <f>AVERAGE(B74:B85)</f>
        <v/>
      </c>
      <c r="D85" s="4" t="inlineStr"/>
    </row>
    <row r="86">
      <c r="A86" s="6" t="inlineStr">
        <is>
          <t>2022-12</t>
        </is>
      </c>
      <c r="B86" s="7" t="n">
        <v>156.224</v>
      </c>
      <c r="C86" s="7">
        <f>AVERAGE(B75:B86)</f>
        <v/>
      </c>
      <c r="D86" s="6" t="inlineStr"/>
    </row>
    <row r="87">
      <c r="A87" s="4" t="inlineStr">
        <is>
          <t>2023-01</t>
        </is>
      </c>
      <c r="B87" s="5" t="n">
        <v>157.493</v>
      </c>
      <c r="C87" s="5">
        <f>AVERAGE(B76:B87)</f>
        <v/>
      </c>
      <c r="D87" s="4" t="inlineStr"/>
    </row>
    <row r="88">
      <c r="A88" s="6" t="inlineStr">
        <is>
          <t>2023-02</t>
        </is>
      </c>
      <c r="B88" s="7" t="n">
        <v>158.852</v>
      </c>
      <c r="C88" s="7">
        <f>AVERAGE(B77:B88)</f>
        <v/>
      </c>
      <c r="D88" s="6" t="inlineStr"/>
    </row>
    <row r="89">
      <c r="A89" s="4" t="inlineStr">
        <is>
          <t>2023-03</t>
        </is>
      </c>
      <c r="B89" s="5" t="n">
        <v>152.692</v>
      </c>
      <c r="C89" s="5">
        <f>AVERAGE(B78:B89)</f>
        <v/>
      </c>
      <c r="D89" s="4" t="inlineStr"/>
    </row>
    <row r="90">
      <c r="A90" s="6" t="inlineStr">
        <is>
          <t>2023-04</t>
        </is>
      </c>
      <c r="B90" s="7" t="n">
        <v>160.742</v>
      </c>
      <c r="C90" s="7">
        <f>AVERAGE(B79:B90)</f>
        <v/>
      </c>
      <c r="D90" s="6" t="inlineStr"/>
    </row>
    <row r="91">
      <c r="A91" s="4" t="inlineStr">
        <is>
          <t>2023-05</t>
        </is>
      </c>
      <c r="B91" s="5" t="n">
        <v>159.401</v>
      </c>
      <c r="C91" s="5">
        <f>AVERAGE(B80:B91)</f>
        <v/>
      </c>
      <c r="D91" s="4" t="inlineStr"/>
    </row>
    <row r="92">
      <c r="A92" s="6" t="inlineStr">
        <is>
          <t>2023-06</t>
        </is>
      </c>
      <c r="B92" s="7" t="n">
        <v>160.976</v>
      </c>
      <c r="C92" s="7">
        <f>AVERAGE(B81:B92)</f>
        <v/>
      </c>
      <c r="D92" s="6" t="inlineStr"/>
    </row>
    <row r="93">
      <c r="A93" s="8" t="inlineStr">
        <is>
          <t>2023-07</t>
        </is>
      </c>
      <c r="B93" s="9" t="n">
        <v>0.768</v>
      </c>
      <c r="C93" s="9">
        <f>AVERAGE(B82:B93)</f>
        <v/>
      </c>
      <c r="D93" s="10" t="inlineStr">
        <is>
          <t>LOW DATA</t>
        </is>
      </c>
    </row>
    <row r="94">
      <c r="A94" s="8" t="inlineStr">
        <is>
          <t>2023-08</t>
        </is>
      </c>
      <c r="B94" s="9" t="n">
        <v>0.012</v>
      </c>
      <c r="C94" s="9">
        <f>AVERAGE(B83:B94)</f>
        <v/>
      </c>
      <c r="D94" s="10" t="inlineStr">
        <is>
          <t>LOW DATA</t>
        </is>
      </c>
    </row>
    <row r="95">
      <c r="A95" s="8" t="inlineStr">
        <is>
          <t>2023-09</t>
        </is>
      </c>
      <c r="B95" s="9" t="n">
        <v>0</v>
      </c>
      <c r="C95" s="9">
        <f>AVERAGE(B84:B95)</f>
        <v/>
      </c>
      <c r="D95" s="10" t="inlineStr">
        <is>
          <t>LOW DATA</t>
        </is>
      </c>
    </row>
    <row r="96">
      <c r="A96" s="6" t="inlineStr">
        <is>
          <t>2023-10</t>
        </is>
      </c>
      <c r="B96" s="7" t="n">
        <v>155.664</v>
      </c>
      <c r="C96" s="7">
        <f>AVERAGE(B85:B96)</f>
        <v/>
      </c>
      <c r="D96" s="6" t="inlineStr"/>
    </row>
    <row r="97">
      <c r="A97" s="8" t="inlineStr">
        <is>
          <t>2023-11</t>
        </is>
      </c>
      <c r="B97" s="9" t="n">
        <v>20.88</v>
      </c>
      <c r="C97" s="9">
        <f>AVERAGE(B86:B97)</f>
        <v/>
      </c>
      <c r="D97" s="10" t="inlineStr">
        <is>
          <t>LOW DATA</t>
        </is>
      </c>
    </row>
    <row r="98">
      <c r="A98" s="6" t="inlineStr">
        <is>
          <t>2023-12</t>
        </is>
      </c>
      <c r="B98" s="7" t="n">
        <v>156.695</v>
      </c>
      <c r="C98" s="7">
        <f>AVERAGE(B87:B98)</f>
        <v/>
      </c>
      <c r="D98" s="6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5" customHeight="1">
      <c r="A1" s="12" t="inlineStr">
        <is>
          <t>Annual Average LULC — Hyderabad 2016–2023 (km²)</t>
        </is>
      </c>
    </row>
    <row r="2">
      <c r="A2" s="3" t="inlineStr">
        <is>
          <t>Year</t>
        </is>
      </c>
      <c r="B2" s="3" t="inlineStr">
        <is>
          <t>Water</t>
        </is>
      </c>
      <c r="C2" s="3" t="inlineStr">
        <is>
          <t>Trees</t>
        </is>
      </c>
      <c r="D2" s="3" t="inlineStr">
        <is>
          <t>Grass</t>
        </is>
      </c>
      <c r="E2" s="3" t="inlineStr">
        <is>
          <t>Flooded Veg</t>
        </is>
      </c>
      <c r="F2" s="3" t="inlineStr">
        <is>
          <t>Crops</t>
        </is>
      </c>
      <c r="G2" s="3" t="inlineStr">
        <is>
          <t>Shrub</t>
        </is>
      </c>
      <c r="H2" s="3" t="inlineStr">
        <is>
          <t>Built-up</t>
        </is>
      </c>
      <c r="I2" s="3" t="inlineStr">
        <is>
          <t>Bare</t>
        </is>
      </c>
      <c r="J2" s="3" t="inlineStr">
        <is>
          <t>Snow</t>
        </is>
      </c>
    </row>
    <row r="3">
      <c r="A3" s="4" t="n">
        <v>2016</v>
      </c>
      <c r="B3" s="5" t="n">
        <v>6.305</v>
      </c>
      <c r="C3" s="5" t="n">
        <v>7.232</v>
      </c>
      <c r="D3" s="5" t="n">
        <v>0.371</v>
      </c>
      <c r="E3" s="5" t="n">
        <v>0.171</v>
      </c>
      <c r="F3" s="5" t="n">
        <v>4.153</v>
      </c>
      <c r="G3" s="5" t="n">
        <v>1.908</v>
      </c>
      <c r="H3" s="13" t="n">
        <v>155.784</v>
      </c>
      <c r="I3" s="5" t="n">
        <v>2.091</v>
      </c>
      <c r="J3" s="5" t="n">
        <v>0.001</v>
      </c>
    </row>
    <row r="4">
      <c r="A4" s="6" t="n">
        <v>2017</v>
      </c>
      <c r="B4" s="7" t="n">
        <v>6.043</v>
      </c>
      <c r="C4" s="7" t="n">
        <v>6.77</v>
      </c>
      <c r="D4" s="7" t="n">
        <v>0.339</v>
      </c>
      <c r="E4" s="7" t="n">
        <v>0.057</v>
      </c>
      <c r="F4" s="7" t="n">
        <v>2.952</v>
      </c>
      <c r="G4" s="7" t="n">
        <v>1.084</v>
      </c>
      <c r="H4" s="14" t="n">
        <v>120.063</v>
      </c>
      <c r="I4" s="7" t="n">
        <v>4.644</v>
      </c>
      <c r="J4" s="7" t="n">
        <v>0.04</v>
      </c>
    </row>
    <row r="5">
      <c r="A5" s="4" t="n">
        <v>2018</v>
      </c>
      <c r="B5" s="5" t="n">
        <v>7.062</v>
      </c>
      <c r="C5" s="5" t="n">
        <v>6.978</v>
      </c>
      <c r="D5" s="5" t="n">
        <v>0.361</v>
      </c>
      <c r="E5" s="5" t="n">
        <v>0.058</v>
      </c>
      <c r="F5" s="5" t="n">
        <v>4.448</v>
      </c>
      <c r="G5" s="5" t="n">
        <v>0.928</v>
      </c>
      <c r="H5" s="13" t="n">
        <v>156.005</v>
      </c>
      <c r="I5" s="5" t="n">
        <v>2.176</v>
      </c>
      <c r="J5" s="5" t="n">
        <v>0</v>
      </c>
    </row>
    <row r="6">
      <c r="A6" s="6" t="n">
        <v>2019</v>
      </c>
      <c r="B6" s="7" t="n">
        <v>6.108</v>
      </c>
      <c r="C6" s="7" t="n">
        <v>5.811</v>
      </c>
      <c r="D6" s="7" t="n">
        <v>0.346</v>
      </c>
      <c r="E6" s="7" t="n">
        <v>0.07199999999999999</v>
      </c>
      <c r="F6" s="7" t="n">
        <v>3.5</v>
      </c>
      <c r="G6" s="7" t="n">
        <v>1.163</v>
      </c>
      <c r="H6" s="14" t="n">
        <v>142.961</v>
      </c>
      <c r="I6" s="7" t="n">
        <v>2.772</v>
      </c>
      <c r="J6" s="7" t="n">
        <v>0.002</v>
      </c>
    </row>
    <row r="7">
      <c r="A7" s="4" t="n">
        <v>2020</v>
      </c>
      <c r="B7" s="5" t="n">
        <v>6.86</v>
      </c>
      <c r="C7" s="5" t="n">
        <v>8.099</v>
      </c>
      <c r="D7" s="5" t="n">
        <v>0.369</v>
      </c>
      <c r="E7" s="5" t="n">
        <v>0.145</v>
      </c>
      <c r="F7" s="5" t="n">
        <v>3.1</v>
      </c>
      <c r="G7" s="5" t="n">
        <v>1.184</v>
      </c>
      <c r="H7" s="13" t="n">
        <v>157.048</v>
      </c>
      <c r="I7" s="5" t="n">
        <v>1.21</v>
      </c>
      <c r="J7" s="5" t="n">
        <v>0</v>
      </c>
    </row>
    <row r="8">
      <c r="A8" s="6" t="n">
        <v>2021</v>
      </c>
      <c r="B8" s="7" t="n">
        <v>7.167</v>
      </c>
      <c r="C8" s="7" t="n">
        <v>7.542</v>
      </c>
      <c r="D8" s="7" t="n">
        <v>0.388</v>
      </c>
      <c r="E8" s="7" t="n">
        <v>0.063</v>
      </c>
      <c r="F8" s="7" t="n">
        <v>3.965</v>
      </c>
      <c r="G8" s="7" t="n">
        <v>0.839</v>
      </c>
      <c r="H8" s="14" t="n">
        <v>155.891</v>
      </c>
      <c r="I8" s="7" t="n">
        <v>2.133</v>
      </c>
      <c r="J8" s="7" t="n">
        <v>0</v>
      </c>
    </row>
    <row r="9">
      <c r="A9" s="4" t="n">
        <v>2022</v>
      </c>
      <c r="B9" s="5" t="n">
        <v>7.155</v>
      </c>
      <c r="C9" s="5" t="n">
        <v>6.64</v>
      </c>
      <c r="D9" s="5" t="n">
        <v>0.385</v>
      </c>
      <c r="E9" s="5" t="n">
        <v>0.135</v>
      </c>
      <c r="F9" s="5" t="n">
        <v>3.414</v>
      </c>
      <c r="G9" s="5" t="n">
        <v>0.89</v>
      </c>
      <c r="H9" s="13" t="n">
        <v>157.321</v>
      </c>
      <c r="I9" s="5" t="n">
        <v>2.076</v>
      </c>
      <c r="J9" s="5" t="n">
        <v>0</v>
      </c>
    </row>
    <row r="10">
      <c r="A10" s="6" t="n">
        <v>2023</v>
      </c>
      <c r="B10" s="7" t="n">
        <v>7.034</v>
      </c>
      <c r="C10" s="7" t="n">
        <v>7.01</v>
      </c>
      <c r="D10" s="7" t="n">
        <v>0.45</v>
      </c>
      <c r="E10" s="7" t="n">
        <v>0.128</v>
      </c>
      <c r="F10" s="7" t="n">
        <v>3.837</v>
      </c>
      <c r="G10" s="7" t="n">
        <v>0.678</v>
      </c>
      <c r="H10" s="14" t="n">
        <v>157.814</v>
      </c>
      <c r="I10" s="7" t="n">
        <v>1.064</v>
      </c>
      <c r="J10" s="7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2026-04-25T19:52:17Z</dcterms:created>
  <dcterms:modified xmlns:dcterms="http://purl.org/dc/terms/" xmlns:xsi="http://www.w3.org/2001/XMLSchema-instance" xsi:type="dcterms:W3CDTF">2026-04-25T19:52:17Z</dcterms:modified>
</cp:coreProperties>
</file>